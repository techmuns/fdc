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s (all 27)" sheetId="1" state="visible" r:id="rId3"/>
    <sheet name="Red flags &amp; watch-items" sheetId="2" state="visible" r:id="rId4"/>
    <sheet name="Summary &amp; metho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<sst xmlns="http://schemas.openxmlformats.org/spreadsheetml/2006/main" count="518" uniqueCount="423">
  <si>
    <t xml:space="preserve">Supplier</t>
  </si>
  <si>
    <t xml:space="preserve">Segment</t>
  </si>
  <si>
    <t xml:space="preserve">Annual spend (₹ Cr)</t>
  </si>
  <si>
    <t xml:space="preserve">Role in your sourcing</t>
  </si>
  <si>
    <t xml:space="preserve">Risk</t>
  </si>
  <si>
    <t xml:space="preserve">Who they are</t>
  </si>
  <si>
    <t xml:space="preserve">Ownership / parent</t>
  </si>
  <si>
    <t xml:space="preserve">Financial health &amp; credit</t>
  </si>
  <si>
    <t xml:space="preserve">Capacity / scale</t>
  </si>
  <si>
    <t xml:space="preserve">Legal / regulatory / safety</t>
  </si>
  <si>
    <t xml:space="preserve">Management / governance</t>
  </si>
  <si>
    <t xml:space="preserve">Reputation / ESG / employees</t>
  </si>
  <si>
    <t xml:space="preserve">Key customers</t>
  </si>
  <si>
    <t xml:space="preserve">Notable findings / flags</t>
  </si>
  <si>
    <t xml:space="preserve">Verdict — what to do</t>
  </si>
  <si>
    <t xml:space="preserve">Confidence</t>
  </si>
  <si>
    <t xml:space="preserve">Key source</t>
  </si>
  <si>
    <t xml:space="preserve">GEEP Industries (India)</t>
  </si>
  <si>
    <t xml:space="preserve">Laminates (sachet film)</t>
  </si>
  <si>
    <t xml:space="preserve">You overpay (biggest laminate line)</t>
  </si>
  <si>
    <t xml:space="preserve">Red</t>
  </si>
  <si>
    <t xml:space="preserve">The old 'Geep' batteries/torch/LED brand that also converts laminate film — packaging is a sideline.</t>
  </si>
  <si>
    <t xml:space="preserve">Private; Thanawala family (Thane). Multiple group entities + K.M. Enterprises.</t>
  </si>
  <si>
    <t xml:space="preserve">Unrated since Feb-2023 (CRISIL BB+, looks stale); ~₹330 cr revenue; margins fell ~8.6%→3%.</t>
  </si>
  <si>
    <t xml:space="preserve">~500 t/month laminate (self-reported); 4 units (Silvassa/Baddi/Chennai/Guwahati).</t>
  </si>
  <si>
    <t xml:space="preserve">CONVICTED CARTELIST — CCI (2018) found price-fixing with Panasonic; NCLAT upheld guilt (2023), penalty ₹2.41 cr. No other legal action found.</t>
  </si>
  <si>
    <t xml:space="preserve">Family-run; history of going 'non-cooperating' with rating agency.</t>
  </si>
  <si>
    <t xml:space="preserve">No employee-review data found. BRC packaging cert claimed.</t>
  </si>
  <si>
    <t xml:space="preserve">FDC (named in CRISIL), Surya, Syska, DMart, Reliance Retail, Parle Agro.</t>
  </si>
  <si>
    <t xml:space="preserve">Convicted cartelist; laminate is non-core (group chasing LED/EV); stale, opaque credit.</t>
  </si>
  <si>
    <t xml:space="preserve">Push price hard; DON'T grow reliance. Keep a credible second source ready.</t>
  </si>
  <si>
    <t xml:space="preserve">High</t>
  </si>
  <si>
    <t xml:space="preserve">CCI order Aug-2018; CRISIL Feb-2023</t>
  </si>
  <si>
    <t xml:space="preserve">Gujarat Ambuja Exports</t>
  </si>
  <si>
    <t xml:space="preserve">Dextrose</t>
  </si>
  <si>
    <t xml:space="preserve">You overpay</t>
  </si>
  <si>
    <t xml:space="preserve">Amber</t>
  </si>
  <si>
    <t xml:space="preserve">India's largest maize processor; dextrose sits in its derivatives line.</t>
  </si>
  <si>
    <t xml:space="preserve">Listed (BSE/NSE); Gupta family (promoter 63.8%). 3rd gen on board.</t>
  </si>
  <si>
    <t xml:space="preserve">Fortress: CARE/CRISIL AA-, effectively net-debt-free, ~₹950 cr cash. BUT profit is a commodity spread (one qtr -45%, then rebounded; FY26 PAT +22%).</t>
  </si>
  <si>
    <t xml:space="preserve">~5,000 TPD maize (#1 in India), ~82% utilised, expanding to 6,000 TPD; new 850 TPD greenfield at Hubli (Rs333cr, by FY2029); 30,000 TPA sodium-gluconate fermentation plant (commercial Dec-2025); dedicated food+pharma-grade starch capex via a WOS. Net-debt-free funding.</t>
  </si>
  <si>
    <t xml:space="preserve">2018 NGT pollution closure order at Sitarganj (stayed); minor GST demands. No fraud/insolvency.</t>
  </si>
  <si>
    <t xml:space="preserve">Family-run; promoter pay ₹40cr+ (~11-15% of PAT) vs ~3% dividend on cash pile; low institutional holding (~4.6%).</t>
  </si>
  <si>
    <t xml:space="preserve">Great Place To Work certified; AmbitionBox 3.4/5 (pay satisfaction weak).</t>
  </si>
  <si>
    <t xml:space="preserve">Pharma/FMCG/feed; exports ~26%. Supplies pharma-grade; FDC consistent.</t>
  </si>
  <si>
    <t xml:space="preserve">Strong &amp; low-risk to rely on, but cyclical margins + a pollution-history blemish.</t>
  </si>
  <si>
    <t xml:space="preserve">Push the price — you're overpaying a safe market leader. No need to switch.</t>
  </si>
  <si>
    <t xml:space="preserve">CARE Dec-2025; CRISIL Aug-2025</t>
  </si>
  <si>
    <t xml:space="preserve">Sayaji Industries</t>
  </si>
  <si>
    <t xml:space="preserve">Move-to candidate</t>
  </si>
  <si>
    <t xml:space="preserve">80-year Ahmedabad maize processor; makes real dextrose (DMH/ADH).</t>
  </si>
  <si>
    <t xml:space="preserve">Listed; Mehta family (promoter ~75%).</t>
  </si>
  <si>
    <t xml:space="preserve">WAS DISTRESSED (FY25 operating profit negative; CARE BB+, below investment grade) — NOW RECOVERING (outlook moved to Positive, Sep-2026). Propped up by promoter loans + a ₹73 cr land sale.</t>
  </si>
  <si>
    <t xml:space="preserve">Single 950 TPD plant (Kathwada, Ahmedabad; up from 930 TPD) — NO maize-crush expansion planned, only a ~Rs34cr automation/upgrade capex (FY27). Running near full, so it can take SOME extra volume, not a large block.</t>
  </si>
  <si>
    <t xml:space="preserve">A promoter dispute (Desai) settled 2021, no control change. No pollution/fire/recall found.</t>
  </si>
  <si>
    <t xml:space="preserve">Family-run; structural promoter funding (a director holds ₹5cr of its deposits).</t>
  </si>
  <si>
    <t xml:space="preserve">No employee-review data (hits were the unrelated Sayaji Hotels).</t>
  </si>
  <si>
    <t xml:space="preserve">Diversified (pharma/food/paint/paper); top-10 customers ~26%.</t>
  </si>
  <si>
    <t xml:space="preserve">Cheaper and recovering, but still fragile and sub-investment-grade.</t>
  </si>
  <si>
    <t xml:space="preserve">Use as a SMALL price-lever second source; don't move large/sole volume until the recovery proves out.</t>
  </si>
  <si>
    <t xml:space="preserve">CARE Nov-2025, Jun-2026, Sep-2026</t>
  </si>
  <si>
    <t xml:space="preserve">Shrinath Roto Pack</t>
  </si>
  <si>
    <t xml:space="preserve">Big, established Hyderabad flexible-packaging maker; pharma-grade.</t>
  </si>
  <si>
    <t xml:space="preserve">Private; Rathi family 'Shree group'; sister co Nath Foils (aluminium foil).</t>
  </si>
  <si>
    <t xml:space="preserve">~₹1,019 cr revenue (dipped FY24); CARE BBB+. BUT cash flow cratered ~80%, free cash ₹1.95 cr, high leverage (TD/GCA 10x).</t>
  </si>
  <si>
    <t xml:space="preserve">57,540 MTPA laminate across 2 Hyderabad plants (Mankhal 28,200 + Burgul 29,340); grew from ~42,000 MTPA (FY22) via ~Rs430cr group capex (incl. a new 14,600 MTPA Nath Foils aluminium-foil plant at Aurangabad, commercial Mar-2024, only ~40-50% utilised). NO major new capex planned. Live US exports.</t>
  </si>
  <si>
    <t xml:space="preserve">No incidents/litigation found. India Ratings cut A-→BBB+ (Jan-2024) on leverage; CRISIL 'non-cooperating' (Aug-2024).</t>
  </si>
  <si>
    <t xml:space="preserve">Family-run (2nd gen). Credit hostage to the under-utilised (40-50%) debt-funded foil plant it guarantees.</t>
  </si>
  <si>
    <t xml:space="preserve">Glassdoor 4.0/9 reviews (mixed). BRC/ISO certified.</t>
  </si>
  <si>
    <t xml:space="preserve">GSK, P&amp;G, Britannia (top-10 ~36%).</t>
  </si>
  <si>
    <t xml:space="preserve">Capable &amp; pharma-grade, but financially stretched (foil-plant debt) and a rating-agency switch.</t>
  </si>
  <si>
    <t xml:space="preserve">Second source alongside GEEP (lever + backup); DUAL-source, verify spare capacity before any big shift.</t>
  </si>
  <si>
    <t xml:space="preserve">CARE Oct-2024; India Ratings Jan-2024</t>
  </si>
  <si>
    <t xml:space="preserve">Chemco Plastic Industries</t>
  </si>
  <si>
    <t xml:space="preserve">Rigid plastic (bottles/preforms)</t>
  </si>
  <si>
    <t xml:space="preserve">Flagged for old stock</t>
  </si>
  <si>
    <t xml:space="preserve">Green</t>
  </si>
  <si>
    <t xml:space="preserve">Strong PET/rigid-packaging maker; the 'old stock' is their 125-day inventory model, not distress.</t>
  </si>
  <si>
    <t xml:space="preserve">Private; Saraogi family (Chemco Group, Mumbai); IPO talked about (no DRHP yet).</t>
  </si>
  <si>
    <t xml:space="preserve">CRISIL A+ / ICRA A+; revenue ₹602→939 cr in 3 yrs; gearing ~0.9x. Healthy.</t>
  </si>
  <si>
    <t xml:space="preserve">India's largest PET-preform maker (added &gt;25,000 t preform capacity in 2023 via 5 Husky lines); building an rPET pellet unit at Sanand (live ~Q3 FY26). Plenty of capacity + actively expanding. The ~125-day inventory is a deliberate model (CRISIL), not distress.</t>
  </si>
  <si>
    <t xml:space="preserve">No legal/pollution/fire/insolvency found. Absorbed Gaurav Containers (FY24).</t>
  </si>
  <si>
    <t xml:space="preserve">Family-run (MDs Vaibhav &amp; Gaurav Saraogi).</t>
  </si>
  <si>
    <t xml:space="preserve">ISO/FSSC 22000/GMP (food-grade, not pharma-DMF); AmbitionBox 3.8/5.</t>
  </si>
  <si>
    <t xml:space="preserve">Coca-Cola, PepsiCo, Nestle, Cipla, J&amp;J, Bisleri.</t>
  </si>
  <si>
    <t xml:space="preserve">Financially strong, pharma-capable, expanding.</t>
  </si>
  <si>
    <t xml:space="preserve">Keep them — add a 'freshest-first / max-age-at-dispatch' clause for ORS shelf life.</t>
  </si>
  <si>
    <t xml:space="preserve">CRISIL Sep-2025; ICRA Jul-2024</t>
  </si>
  <si>
    <t xml:space="preserve">Tetra Pak India</t>
  </si>
  <si>
    <t xml:space="preserve">Aseptic cartons (NOT laminate film)</t>
  </si>
  <si>
    <t xml:space="preserve">You pay too soon</t>
  </si>
  <si>
    <t xml:space="preserve">Rock-solid MNC; Chakan (Pune) is its largest plant outside Sweden.</t>
  </si>
  <si>
    <t xml:space="preserve">Private; part of Tetra Laval group (Sweden).</t>
  </si>
  <si>
    <t xml:space="preserve">Financially dominant; India revenue ~₹4,490 cr, PAT ~₹241 cr (fell ~18% FY25). No distress.</t>
  </si>
  <si>
    <t xml:space="preserve">Chakan 45-acre site; ~75% local components; exports to 50+ countries.</t>
  </si>
  <si>
    <t xml:space="preserve">No India antitrust/incident found. Group carries two of the largest antitrust fines in EU &amp; China history (for tying packaging to machines).</t>
  </si>
  <si>
    <t xml:space="preserve">MNC; India MD Cassio Simoes. Repatriates ~₹300 cr/yr to Sweden.</t>
  </si>
  <si>
    <t xml:space="preserve">Glassdoor 4.2/5. ESG: recyclability claims contested (NGT).</t>
  </si>
  <si>
    <t xml:space="preserve">Nestle, Amul, Britannia, Dabur, Parle Agro.</t>
  </si>
  <si>
    <t xml:space="preserve">Safe counterparty; no reason to be paying early — they even finance their own customers.</t>
  </si>
  <si>
    <t xml:space="preserve">Stop paying early; push for 30-day terms (cite that they extend credit to their customers).</t>
  </si>
  <si>
    <t xml:space="preserve">Medium</t>
  </si>
  <si>
    <t xml:space="preserve">Company filings; CARE/press</t>
  </si>
  <si>
    <t xml:space="preserve">GLS Films Industries</t>
  </si>
  <si>
    <t xml:space="preserve">Big-capacity flexible-packaging maker with good clients, but financially fragile group.</t>
  </si>
  <si>
    <t xml:space="preserve">Private; Goyal family 'GLS group' (Delhi/Rewari).</t>
  </si>
  <si>
    <t xml:space="preserve">Heavily leveraged (combined gearing 5.64x); group did NOT cover interest in FY24 (0.86x); flagship revenue -23%. 'Rating-shopping' (2 agencies walked, a 3rd graded higher).</t>
  </si>
  <si>
    <t xml:space="preserve">Own flexible-laminate capacity (MTPA) NOT publicly disclosed by either rating agency; ~50% utilisation is the only headroom signal (Indian BOPET is in over-capacity). Capacity is not the concern here — the group's finances are.</t>
  </si>
  <si>
    <t xml:space="preserve">CAME WITHIN ONE COURT ORDER OF INSOLVENCY (NCLAT admitted 2025; Supreme Court reversed 2026). GROUP FATAL FIRE: a reactor blast at sister co GLS Speciality Chemicals killed 4 workers (May-2026); safety officer arrested; alleged ignored warnings.</t>
  </si>
  <si>
    <t xml:space="preserve">Family-run; survives on promoter loans + cross-guarantees.</t>
  </si>
  <si>
    <t xml:space="preserve">Glassdoor 3.5/10 reviews (thin, mixed).</t>
  </si>
  <si>
    <t xml:space="preserve">ITC, PepsiCo, Nestle, Haldiram, Tata Consumer.</t>
  </si>
  <si>
    <t xml:space="preserve">Capacity &amp; clients fine; the concern is group leverage, near-insolvency, rating-shopping AND a fatal-fire safety record.</t>
  </si>
  <si>
    <t xml:space="preserve">Push price hard; DON'T increase reliance without fresh financial + safety comfort.</t>
  </si>
  <si>
    <t xml:space="preserve">Supreme Court 2026; Infomerics Jun-2025; Tribune (fire)</t>
  </si>
  <si>
    <t xml:space="preserve">Cincorp International</t>
  </si>
  <si>
    <t xml:space="preserve">Rigid plastic (bottles/caps)</t>
  </si>
  <si>
    <t xml:space="preserve">A GENUINE pharma-bottle maker (upgraded from 'possible middleman' — confirmed real).</t>
  </si>
  <si>
    <t xml:space="preserve">Private; director Akhil Chauhan; operates from Noida (public registry match murky).</t>
  </si>
  <si>
    <t xml:space="preserve">No public financials/rating; micro-scale.</t>
  </si>
  <si>
    <t xml:space="preserve">Makes HDPE/LDPE/PP bottles &amp; containers for pharma/FMCG (per cincorp.co.in); FDC SAP shows 121 deliveries to Baddi.</t>
  </si>
  <si>
    <t xml:space="preserve">No litigation/pollution found. Stale public filings.</t>
  </si>
  <si>
    <t xml:space="preserve">Closely-held.</t>
  </si>
  <si>
    <t xml:space="preserve">Not found.</t>
  </si>
  <si>
    <t xml:space="preserve">FDC (Baddi, per SAP) — HDPE bottles + caps.</t>
  </si>
  <si>
    <t xml:space="preserve">Real maker, but pin the exact legal entity (GST invoice) and check for any markup.</t>
  </si>
  <si>
    <t xml:space="preserve">Use overpay data to negotiate; get a cost breakdown; confirm the invoicing entity.</t>
  </si>
  <si>
    <t xml:space="preserve">cincorp.co.in; FDC SAP register</t>
  </si>
  <si>
    <t xml:space="preserve">PIK Plastics</t>
  </si>
  <si>
    <t xml:space="preserve">Rigid plastic (PET bottles)</t>
  </si>
  <si>
    <t xml:space="preserve">You overpay + move-to</t>
  </si>
  <si>
    <t xml:space="preserve">A real but tiny one-owner Surat PET-bottle firm (brand 'Alpha').</t>
  </si>
  <si>
    <t xml:space="preserve">Proprietorship — Pareshbhai Khasakia (GST 24ACFPK2261C1Z7).</t>
  </si>
  <si>
    <t xml:space="preserve">No public audited accounts (proprietorship).</t>
  </si>
  <si>
    <t xml:space="preserve">Vapi GIDC factory + a Haridwar pharma-belt branch; capacity not verifiable.</t>
  </si>
  <si>
    <t xml:space="preserve">No litigation/pollution found; GST active.</t>
  </si>
  <si>
    <t xml:space="preserve">Single proprietor — key-person risk.</t>
  </si>
  <si>
    <t xml:space="preserve">Not disclosed.</t>
  </si>
  <si>
    <t xml:space="preserve">Real small maker; everything decision-critical (capacity, certs, accounts) is unverifiable.</t>
  </si>
  <si>
    <t xml:space="preserve">Fine for price leverage; DON'T move volume without an on-site audit + ISO 15378/GMP + accounts.</t>
  </si>
  <si>
    <t xml:space="preserve">Low (scale/certs)</t>
  </si>
  <si>
    <t xml:space="preserve">GST registry + directories</t>
  </si>
  <si>
    <t xml:space="preserve">Premier Plastic</t>
  </si>
  <si>
    <t xml:space="preserve">Rigid plastic (bottles/tubes)</t>
  </si>
  <si>
    <t xml:space="preserve">A micro one-owner Vasai plastics shop — weakest pharma fit of the small ones.</t>
  </si>
  <si>
    <t xml:space="preserve">Proprietorship — Jayesh Joshi (GST 27ABAPJ2387G1ZQ). NOT the listed 'Premier Polyfilm' (that's vinyl flooring).</t>
  </si>
  <si>
    <t xml:space="preserve">No public accounts.</t>
  </si>
  <si>
    <t xml:space="preserve">General plastics (jars, tablet tubes, even scarf hangers); thin pharma-bottle evidence.</t>
  </si>
  <si>
    <t xml:space="preserve">No litigation found.</t>
  </si>
  <si>
    <t xml:space="preserve">Single proprietor.</t>
  </si>
  <si>
    <t xml:space="preserve">Identity now pinned; pharma-bottle capability largely unevidenced.</t>
  </si>
  <si>
    <t xml:space="preserve">Confirm exactly which 'Premier' invoices you (GST), then audit before any volume move.</t>
  </si>
  <si>
    <t xml:space="preserve">Low</t>
  </si>
  <si>
    <t xml:space="preserve">Mars Plastics</t>
  </si>
  <si>
    <t xml:space="preserve">Rigid plastic (pharma bottles)</t>
  </si>
  <si>
    <t xml:space="preserve">A small Punjab partnership with the BEST pharma product-fit of the tiny makers.</t>
  </si>
  <si>
    <t xml:space="preserve">Partnership (Samana, Punjab); partner Husandeep Bansal (GST 03AARFM8774E1ZW).</t>
  </si>
  <si>
    <t xml:space="preserve">No public accounts (₹5-25 cr self-reported band).</t>
  </si>
  <si>
    <t xml:space="preserve">Makes dry-syrup/eye-drop/nasal HDPE bottles — exactly FDC-relevant. Has an export licence.</t>
  </si>
  <si>
    <t xml:space="preserve">Family partnership.</t>
  </si>
  <si>
    <t xml:space="preserve">Right products; unverified scale/certs; partner also runs a separate trading proprietorship.</t>
  </si>
  <si>
    <t xml:space="preserve">Fine for leverage; audit (ISO 15378/GMP, capacity, accounts) before moving meaningful volume.</t>
  </si>
  <si>
    <t xml:space="preserve">Sukhjit Corn Products (Sukhjit Starch)</t>
  </si>
  <si>
    <t xml:space="preserve">You overpay + pay too soon</t>
  </si>
  <si>
    <t xml:space="preserve">Healthy, well-run 83-year dextrose maker with blue-chip clients.</t>
  </si>
  <si>
    <t xml:space="preserve">Listed; Sardana family (promoter ~66%).</t>
  </si>
  <si>
    <t xml:space="preserve">CRISIL A (cut from A+ on a margin dip); low debt (D/E ~0.15); ~₹100 cr cash. Strong.</t>
  </si>
  <si>
    <t xml:space="preserve">1,600 TPD; new ₹500 cr Nashik plant announced. Runs bank limits ~93% full.</t>
  </si>
  <si>
    <t xml:space="preserve">Clean (only routine tax matters); no pollution/NGT. Verified green-hydrogen-from-biogas plant.</t>
  </si>
  <si>
    <t xml:space="preserve">Family-run; group CEO sits on a listed bank's board.</t>
  </si>
  <si>
    <t xml:space="preserve">No employee-review data. Single-site Phagwara concentration (~40% sales).</t>
  </si>
  <si>
    <t xml:space="preserve">Dabur, Nestle, Mars, Zydus, Marico.</t>
  </si>
  <si>
    <t xml:space="preserve">Safe to rely on; you hold TWO levers (price + the early payment they value).</t>
  </si>
  <si>
    <t xml:space="preserve">Cut the price AND stop paying them early (move to 30-day terms).</t>
  </si>
  <si>
    <t xml:space="preserve">CRISIL Jun-2026</t>
  </si>
  <si>
    <t xml:space="preserve">Berry Global India</t>
  </si>
  <si>
    <t xml:space="preserve">Rigid plastic (healthcare devices/bottles)</t>
  </si>
  <si>
    <t xml:space="preserve">Backed by a global giant, but the India arm is tiny and device-focused.</t>
  </si>
  <si>
    <t xml:space="preserve">Private; parent now AMCOR (acquired Berry, Apr-2025) — investment-grade (BBB).</t>
  </si>
  <si>
    <t xml:space="preserve">Parent rock-solid; India entity tiny (~₹11.6 cr FY24) &amp; loss-making.</t>
  </si>
  <si>
    <t xml:space="preserve">Bangalore healthcare site makes inhalers/droppers/nasal pumps — maybe not your plain ORS bottles.</t>
  </si>
  <si>
    <t xml:space="preserve">No India closure post-Amcor (Amcor cut 200 roles/5 sites, none India). Peenya is a high-pollution zone (no violation attributed).</t>
  </si>
  <si>
    <t xml:space="preserve">MNC; India MD Khasim Saheb.</t>
  </si>
  <si>
    <t xml:space="preserve">Glassdoor 3.3/5 (mostly US).</t>
  </si>
  <si>
    <t xml:space="preserve">Large generic-pharma makers (not named).</t>
  </si>
  <si>
    <t xml:space="preserve">Safe on parent strength; product-fit for commodity bottles is the open question.</t>
  </si>
  <si>
    <t xml:space="preserve">Safe to move to — FIRST confirm the India plant makes your exact bottle SKU.</t>
  </si>
  <si>
    <t xml:space="preserve">High (parent) / Med (fit)</t>
  </si>
  <si>
    <t xml:space="preserve">S&amp;P May-2025; Amcor 10-K</t>
  </si>
  <si>
    <t xml:space="preserve">Empire Industries — Vitrum Glass</t>
  </si>
  <si>
    <t xml:space="preserve">Glass (amber pharma bottles)</t>
  </si>
  <si>
    <t xml:space="preserve">Current supplier (no action flagged)</t>
  </si>
  <si>
    <t xml:space="preserve">FDC's glass-bottle supplier is a niche side-division of a diversified Mumbai holding company.</t>
  </si>
  <si>
    <t xml:space="preserve">Listed (Empire Industries); Malhotra family (promoter 72.6%). Glass = Vitrum division.</t>
  </si>
  <si>
    <t xml:space="preserve">CRISIL A- / CARE A; cash-rich, low-geared (0.49x). FY26 PAT ~₹51 cr. Real-estate rentals are the group's profit engine (~60% margin).</t>
  </si>
  <si>
    <t xml:space="preserve">Single Vikhroli (Mumbai) plant — ~1.9 million bottles/day (5-650 ml) of molded AMBER pharma glass; one furnace, so limited surge headroom. Likely Type III (Type I not confirmed). ISO 9002. Vitrum turnover ~Rs246cr.</t>
  </si>
  <si>
    <t xml:space="preserve">No pollution/fire/litigation found. A ₹33 cr doubtful-debt provision (possibly Gabon-linked) hit its trading arm.</t>
  </si>
  <si>
    <t xml:space="preserve">Family-run; thin public disclosure on the glass unit. Launching 'Empire Medtech'.</t>
  </si>
  <si>
    <t xml:space="preserve">No reliable India employee data (the Glassdoor hits are the unrelated Canadian Vitrum).</t>
  </si>
  <si>
    <t xml:space="preserve">GSK, Pfizer, Merck, Cipla (amber pharma bottles).</t>
  </si>
  <si>
    <t xml:space="preserve">Long-established, low-continuity-risk amber-bottle maker, but a small, non-core unit of the group.</t>
  </si>
  <si>
    <t xml:space="preserve">Keep; a steady niche supplier. Confirm glass type (Type I vs III) for your product.</t>
  </si>
  <si>
    <t xml:space="preserve">CRISIL Jul-2026; CARE Sep-2024</t>
  </si>
  <si>
    <t xml:space="preserve">Kilitch Healthcare India</t>
  </si>
  <si>
    <t xml:space="preserve">Pharma (filled/finished goods)</t>
  </si>
  <si>
    <t xml:space="preserve">The most serious finding — a pharma contract-manufacturer (likely supplies filled goods, not empty bottles).</t>
  </si>
  <si>
    <t xml:space="preserve">Private; Paresh Mehta (brother of listed Kilitch Drugs' Mukund Mehta — confirmed). Formerly 'NBZ Pharma'.</t>
  </si>
  <si>
    <t xml:space="preserve">No public rating; FY25 profit fell ~44% after the US import ban.</t>
  </si>
  <si>
    <t xml:space="preserve">Navi Mumbai sterile facility.</t>
  </si>
  <si>
    <t xml:space="preserve">US FDA WARNING LETTER (Mar-2024): 'routine practice to fabricate results for samples never taken'; on FDA Import Alert 66-40 (still unresolved); maker behind the 2023 US eye-drop recall; a US product-liability lawsuit. No India-side regulatory action found.</t>
  </si>
  <si>
    <t xml:space="preserve">Founder-family; FDA names the MD personally accountable.</t>
  </si>
  <si>
    <t xml:space="preserve">Defined by the eye-drops scandal.</t>
  </si>
  <si>
    <t xml:space="preserve">Previously US store brands (CVS/Walmart/Target via Velocity Pharma).</t>
  </si>
  <si>
    <t xml:space="preserve">Fabricated QC data undermines trust in ALL their release paperwork — directly relevant to the 211-day-old stock.</t>
  </si>
  <si>
    <t xml:space="preserve">Treat as ELEVATED RISK: require FDA remediation evidence &amp; re-qualify, or move the business.</t>
  </si>
  <si>
    <t xml:space="preserve">High (verified at fda.gov)</t>
  </si>
  <si>
    <t xml:space="preserve">FDA Warning Letter 320-24-29</t>
  </si>
  <si>
    <t xml:space="preserve">Bprex Pharma Packaging India</t>
  </si>
  <si>
    <t xml:space="preserve">Rigid plastic (pharma droppers/caps)</t>
  </si>
  <si>
    <t xml:space="preserve">A cGMP pharma-packaging maker — strong fit for your eye-drops; now part of Amcor.</t>
  </si>
  <si>
    <t xml:space="preserve">Private; lineage Truepack (1986) → Rexam (2006) → Berry/'Bprex' (2014) → AMCOR (2025). Same Bangalore address/directors as Berry Global India.</t>
  </si>
  <si>
    <t xml:space="preserve">Parent (Amcor) investment-grade; India-entity financials not public.</t>
  </si>
  <si>
    <t xml:space="preserve">Bangalore cGMP clean-room; ophthalmic dropper bottles (Rispharm/O-Design), inhalation/injectable platforms.</t>
  </si>
  <si>
    <t xml:space="preserve">No company-specific legal/safety found. Peenya is a high-pollution zone (no violation attributed).</t>
  </si>
  <si>
    <t xml:space="preserve">MNC subsidiary; two-person local board (same as Berry).</t>
  </si>
  <si>
    <t xml:space="preserve">Glassdoor 3.3/5 (global).</t>
  </si>
  <si>
    <t xml:space="preserve">Large generic-pharma makers; product-fit for FDC eye-drops is strong.</t>
  </si>
  <si>
    <t xml:space="preserve">Well-capitalised, low-risk MNC vendor (same Amcor group as Berry).</t>
  </si>
  <si>
    <t xml:space="preserve">Keep; confirm which entity (legacy Bprex vs new Berry Global India) actually invoices you.</t>
  </si>
  <si>
    <t xml:space="preserve">Berry/Amcor filings; CPHI</t>
  </si>
  <si>
    <t xml:space="preserve">Universal Starch-Chem Allied</t>
  </si>
  <si>
    <t xml:space="preserve">A small, opaque dextrose maker that went dark on its rating agency.</t>
  </si>
  <si>
    <t xml:space="preserve">Listed (micro-cap ~₹83 cr); Rawal family (CIN L24110MH1973PLC016247).</t>
  </si>
  <si>
    <t xml:space="preserve">Infomerics BB, 'Issuer Not Cooperating' (stopped sharing books AND fees). FY26 PAT +308% off a low base. Zero dividends.</t>
  </si>
  <si>
    <t xml:space="preserve">~750 TPD; entered dextrose in 2023 by buying a bank-auctioned distressed plant for ₹17 cr.</t>
  </si>
  <si>
    <t xml:space="preserve">No litigation/GST found. RED-category (high-pollution) effluent unit.</t>
  </si>
  <si>
    <t xml:space="preserve">Founder-family; self-chosen opacity is the flag.</t>
  </si>
  <si>
    <t xml:space="preserve">No employee data.</t>
  </si>
  <si>
    <t xml:space="preserve">Textile/paper/pharma/food.</t>
  </si>
  <si>
    <t xml:space="preserve">Tiny, opaque, single-plant; push price, don't depend on it.</t>
  </si>
  <si>
    <t xml:space="preserve">Push the price; don't grow reliance.</t>
  </si>
  <si>
    <t xml:space="preserve">Infomerics May-2025</t>
  </si>
  <si>
    <t xml:space="preserve">Suraj Blow Plast</t>
  </si>
  <si>
    <t xml:space="preserve">Rigid plastic (amber PET bottles)</t>
  </si>
  <si>
    <t xml:space="preserve">A real small bottle maker with no web/registry footprint.</t>
  </si>
  <si>
    <t xml:space="preserve">Likely an unregistered proprietorship/trade-name (no CIN/GST found).</t>
  </si>
  <si>
    <t xml:space="preserve">No public data.</t>
  </si>
  <si>
    <t xml:space="preserve">FDC SAP shows 38 deliveries of amber PET pharma bottles to Aurangabad (~₹4.95/pc).</t>
  </si>
  <si>
    <t xml:space="preserve">Nothing found (can't sweep an unlocatable entity).</t>
  </si>
  <si>
    <t xml:space="preserve">Unknown.</t>
  </si>
  <si>
    <t xml:space="preserve">FDC (Aurangabad, per SAP).</t>
  </si>
  <si>
    <t xml:space="preserve">Genuine supplier but zero independent transparency.</t>
  </si>
  <si>
    <t xml:space="preserve">Use as leverage; get the legal entity (CIN/GST) and audit before any bigger volume.</t>
  </si>
  <si>
    <t xml:space="preserve">Medium (exists) / Low (data)</t>
  </si>
  <si>
    <t xml:space="preserve">FDC SAP register</t>
  </si>
  <si>
    <t xml:space="preserve">Rachana Plastics</t>
  </si>
  <si>
    <t xml:space="preserve">Rigid plastic (caps/measuring cups)</t>
  </si>
  <si>
    <t xml:space="preserve">Almost certainly a one-man Mumbai proprietorship making closures &amp; dosing cups.</t>
  </si>
  <si>
    <t xml:space="preserve">Proprietorship — Jignesh Gandhi (GST 27AABPG3368G1ZV). A Kolkata namesake Pvt Ltd exists but is probably not the supplier.</t>
  </si>
  <si>
    <t xml:space="preserve">No public financials (proprietorship).</t>
  </si>
  <si>
    <t xml:space="preserve">Flip-off seals, screw caps, child-resistant caps, measuring spoons/cups (5/15/250 ml) — ORS-relevant.</t>
  </si>
  <si>
    <t xml:space="preserve">No litigation/pollution found.</t>
  </si>
  <si>
    <t xml:space="preserve">Sole proprietor — key-person risk.</t>
  </si>
  <si>
    <t xml:space="preserve">Only an IndiaMART 4.4/15 rating.</t>
  </si>
  <si>
    <t xml:space="preserve">Micro-vendor; clean record but zero financial transparency.</t>
  </si>
  <si>
    <t xml:space="preserve">Low-stakes closure/cup supplier; pin the GST entity and check FSSAI/food-grade compliance.</t>
  </si>
  <si>
    <t xml:space="preserve">Medium (identity)</t>
  </si>
  <si>
    <t xml:space="preserve">GST registry; IndiaMART</t>
  </si>
  <si>
    <t xml:space="preserve">PGP Glass (ex-Piramal Glass)</t>
  </si>
  <si>
    <t xml:space="preserve">Glass (pharma/cosmetic bottles)</t>
  </si>
  <si>
    <t xml:space="preserve">A world-scale glass-packaging leader — but pharma is a minority of its business and its OWNERSHIP IS IN FLUX.</t>
  </si>
  <si>
    <t xml:space="preserve">Private; 100% BLACKSTONE (bought ~$765m 2020). Now running a parallel IPO (~$4bn aspiration) AND trade-sale talks (Brookfield ~$1.3-1.5bn).</t>
  </si>
  <si>
    <t xml:space="preserve">CARE A+; ~₹4,216 cr revenue, ~33% EBITDA margin, PAT ₹384 cr. A ₹2,597 cr ECB bullet due Mar-2026 being refinanced (Blackstone backstop).</t>
  </si>
  <si>
    <t xml:space="preserve">1,730 TPD glass (new 120 TPD Kosamba furnace added; up from 1,610); capex ~Rs600-700cr/yr FY26-27. Type I pharma-glass leader (pharma ~21% of sales); global #1 in nail-polish bottles. Ample capacity.</t>
  </si>
  <si>
    <t xml:space="preserve">Routine tax/excise disputes; a US product-liability suit. Zero fatalities FY25 (LTFIR rose). No pollution/recall found.</t>
  </si>
  <si>
    <t xml:space="preserve">Blackstone-dominated board; MD Vijay Shah. ₹463 cr buyback paid to Blackstone (2024).</t>
  </si>
  <si>
    <t xml:space="preserve">EcoVadis Platinum, CDP 'A', GPTW 7 yrs. AmbitionBox ~4.1/5. (Women &lt;1% of staff.)</t>
  </si>
  <si>
    <t xml:space="preserve">Coty, L'Oreal, Diageo, Pfizer, Avantor (pharma only ~21%; ~77% luxury cosmetics/spirits).</t>
  </si>
  <si>
    <t xml:space="preserve">Very capable supplier; the real variable is the imminent ownership change + the Mar-2026 refinancing.</t>
  </si>
  <si>
    <t xml:space="preserve">Keep; monitor the Blackstone IPO/sale — it could shift priorities away from low-margin domestic pharma.</t>
  </si>
  <si>
    <t xml:space="preserve">CARE Dec-2025; PGP FY25 AR</t>
  </si>
  <si>
    <t xml:space="preserve">Abhinav Speciality Foods</t>
  </si>
  <si>
    <t xml:space="preserve">Food ingredient</t>
  </si>
  <si>
    <t xml:space="preserve">A tiny, opaque Mumbai family LLP; the exact ingredient supplied to FDC isn't publicly disclosed.</t>
  </si>
  <si>
    <t xml:space="preserve">LLP (LLPIN AAD-5116); Rathi family. Adjacent to an Ayurvedic business (Abhinav Healthcare / abhinavayu.com).</t>
  </si>
  <si>
    <t xml:space="preserve">Micro (~₹4 cr revenue, ₹53 L PAT FY25) but LEVERAGED (debt ≈ total assets).</t>
  </si>
  <si>
    <t xml:space="preserve">Office in Andheri (no visible factory); product undiscoverable publicly (likely nutraceutical/herbal or specialty food).</t>
  </si>
  <si>
    <t xml:space="preserve">No FSSAI action/litigation found (namesake insolvencies exist — avoid conflation).</t>
  </si>
  <si>
    <t xml:space="preserve">Two-partner family LLP.</t>
  </si>
  <si>
    <t xml:space="preserve">No review presence.</t>
  </si>
  <si>
    <t xml:space="preserve">Genuine but very small, opaque; highest information-risk; what they actually supply is unconfirmed.</t>
  </si>
  <si>
    <t xml:space="preserve">Obtain the FSSAI licence + exact product spec/COA + GST, and clarify the Abhinav Healthcare link.</t>
  </si>
  <si>
    <t xml:space="preserve">Medium (identity) / Low (product)</t>
  </si>
  <si>
    <t xml:space="preserve">MCA registry (Qorpiq)</t>
  </si>
  <si>
    <t xml:space="preserve">Triveni Polymers</t>
  </si>
  <si>
    <t xml:space="preserve">Rigid plastic (pharma containers/closures)</t>
  </si>
  <si>
    <t xml:space="preserve">The standout: a 'small' vendor that's actually a wholly-owned arm of GERRESHEIMER AG (German pharma-packaging MNC).</t>
  </si>
  <si>
    <t xml:space="preserve">Private; Gerresheimer-controlled (took 75% in 2012; current exact stake not publicly confirmed). Branded 'Gerresheimer Kundli'.</t>
  </si>
  <si>
    <t xml:space="preserve">No free standalone financials, but MNC-backed and current on filings.</t>
  </si>
  <si>
    <t xml:space="preserve">Plants at Kundli (Haryana) + Kosamba (Gujarat, clean-room). Capacity nearly doubled since 2012.</t>
  </si>
  <si>
    <t xml:space="preserve">No litigation/recall found.</t>
  </si>
  <si>
    <t xml:space="preserve">Gerresheimer bench + founding MD (Prakash Dhameja); ex-Gerresheimer global CEO on the board.</t>
  </si>
  <si>
    <t xml:space="preserve">Great Place To Work certified; CII award.</t>
  </si>
  <si>
    <t xml:space="preserve">Solid/liquid-drug pharma makers.</t>
  </si>
  <si>
    <t xml:space="preserve">Blue-chip, USFDA-DMF-certified (first Indian firm for plastic pharma containers), ISO/USP/EP compliant.</t>
  </si>
  <si>
    <t xml:space="preserve">Strongest, lowest-risk of the small vendors — a tier-1 global player. Keep &amp; could grow.</t>
  </si>
  <si>
    <t xml:space="preserve">Gerresheimer press; MCA</t>
  </si>
  <si>
    <t xml:space="preserve">TPAC Packaging India</t>
  </si>
  <si>
    <t xml:space="preserve">You overpay (small)</t>
  </si>
  <si>
    <t xml:space="preserve">A healthy, A-rated bottle maker backed by a Thai group.</t>
  </si>
  <si>
    <t xml:space="preserve">Private; wholly owned by Thai Plaspac (SET: TPAC). India head Jay Nair.</t>
  </si>
  <si>
    <t xml:space="preserve">ICRA A/Stable; ~₹822 cr revenue; low debt. (PAT dipped ~31% last year.)</t>
  </si>
  <si>
    <t xml:space="preserve">Multiple India plants; integrated bottles + caps.</t>
  </si>
  <si>
    <t xml:space="preserve">No India legal/pollution found. A new, undisclosed-purpose 'TPAC India Pvt Ltd' (Pune, Nov-2025) appeared — watch.</t>
  </si>
  <si>
    <t xml:space="preserve">MNC subsidiary.</t>
  </si>
  <si>
    <t xml:space="preserve">No reliable India employee data.</t>
  </si>
  <si>
    <t xml:space="preserve">Amul, Parle, Everest, GM Breweries; pharma-capable.</t>
  </si>
  <si>
    <t xml:space="preserve">Watch-items: thin net margin + ~85-90% reliance on a single supplier of its own.</t>
  </si>
  <si>
    <t xml:space="preserve">Push price (resin-cost-linked clause); safe to keep/grow.</t>
  </si>
  <si>
    <t xml:space="preserve">ICRA Mar-2026</t>
  </si>
  <si>
    <t xml:space="preserve">Huhtamaki India</t>
  </si>
  <si>
    <t xml:space="preserve">Very strong, pharma-grade laminate maker — the solid alternative.</t>
  </si>
  <si>
    <t xml:space="preserve">Listed; 67.7% owned by Huhtamaki Oyj (Finland). 90-yr history (ex-Paper Products).</t>
  </si>
  <si>
    <t xml:space="preserve">CRISIL AA-; near-zero debt (gearing 0.17x), &gt;₹400 cr cash. Flat revenue = negotiating room.</t>
  </si>
  <si>
    <t xml:space="preserve">10+ plants; pharma tube laminates; recyclable 'blueloop' line.</t>
  </si>
  <si>
    <t xml:space="preserve">No major incidents. Minor: auditor noted an IT-controls/audit-trail gap + some disputed tax demands.</t>
  </si>
  <si>
    <t xml:space="preserve">WATCH: MD and CFO both resigned within ~3 months (late-2025); sold Thane land to Phoenix Mall (₹429 cr).</t>
  </si>
  <si>
    <t xml:space="preserve">AmbitionBox 3.9/5.</t>
  </si>
  <si>
    <t xml:space="preserve">FMCG/pharma/personal-care brands.</t>
  </si>
  <si>
    <t xml:space="preserve">Financially very strong + pharma-grade fit; just-reset leadership.</t>
  </si>
  <si>
    <t xml:space="preserve">Safe to move volume here and use their flat revenue to push price. Monitor the leadership churn.</t>
  </si>
  <si>
    <t xml:space="preserve">CRISIL Aug-2026</t>
  </si>
  <si>
    <t xml:space="preserve">UFlex</t>
  </si>
  <si>
    <t xml:space="preserve">India's largest flexible-packaging firm — capable, but with governance &amp; debt flags.</t>
  </si>
  <si>
    <t xml:space="preserve">Listed; founder-chairman Ashok Chaturvedi (promoter ~45%).</t>
  </si>
  <si>
    <t xml:space="preserve">CRISIL AA-/A1+ but OUTLOOK CUT TO NEGATIVE; heavily indebted (net-debt/EBITDA 4.25x); thin ~2% margins; trades ~0.4x book.</t>
  </si>
  <si>
    <t xml:space="preserve">&gt;1.4m MTPA globally; ~80% of revenue now overseas (Egypt/Mexico/Nigeria).</t>
  </si>
  <si>
    <t xml:space="preserve">CHAIRMAN CONVICTED (2010 Noida land scam, 4 yrs RI, conviction never stayed, appeal unresolved ~15 yrs — verified vs the court order). The 2023 ₹1,500 cr tax-raid headline COLLAPSED at the tax tribunal (2026).</t>
  </si>
  <si>
    <t xml:space="preserve">Promoter-led; no SEBI/auditor-qualification found.</t>
  </si>
  <si>
    <t xml:space="preserve">AmbitionBox 3.8/5.</t>
  </si>
  <si>
    <t xml:space="preserve">Diversified pharma/FMCG/food.</t>
  </si>
  <si>
    <t xml:space="preserve">Capable and legitimate, but a convicted chairman + high leverage + Negative outlook.</t>
  </si>
  <si>
    <t xml:space="preserve">Use as a price benchmark only; DON'T concentrate volume. Monitor credit outlook.</t>
  </si>
  <si>
    <t xml:space="preserve">CRISIL Aug-2026; Allahabad HC 2010</t>
  </si>
  <si>
    <t xml:space="preserve">Scorpion Containers</t>
  </si>
  <si>
    <t xml:space="preserve">Rigid plastic? / LOGISTICS?</t>
  </si>
  <si>
    <t xml:space="preserve">May NOT be a packaging maker at all — the evidence points to a logistics/freight company.</t>
  </si>
  <si>
    <t xml:space="preserve">Private; Singh family (Patna/Mumbai). Part of the 'Scorpion Express' pan-India 3PL logistics group.</t>
  </si>
  <si>
    <t xml:space="preserve">Tiny (paid-up &lt;₹1 cr); no rating; no public financials.</t>
  </si>
  <si>
    <t xml:space="preserve">No verifiable plant/capacity. GST footprint is logistics (courier SAC codes, 10+ multi-state regns). One thin packaging listing (PET bottles/HDPE jars).</t>
  </si>
  <si>
    <t xml:space="preserve">No litigation/insolvency confirmed.</t>
  </si>
  <si>
    <t xml:space="preserve">Singh family (also run Scorpion Express 3PL).</t>
  </si>
  <si>
    <t xml:space="preserve">Pharma/FMCG shippers (as a transporter).</t>
  </si>
  <si>
    <t xml:space="preserve">The 'packaging supplier' premise is weakly supported — the real activity looks like freight/transport.</t>
  </si>
  <si>
    <t xml:space="preserve">CONFIRM what they actually supply you (bottles vs transport) before treating as a packaging vendor.</t>
  </si>
  <si>
    <t xml:space="preserve">Low (as packaging)</t>
  </si>
  <si>
    <t xml:space="preserve">MCA; GST (logistics SAC)</t>
  </si>
  <si>
    <t xml:space="preserve">Silk Polypack</t>
  </si>
  <si>
    <t xml:space="preserve">Laminates (one-off)</t>
  </si>
  <si>
    <t xml:space="preserve">Listed as a 'move-to' (not a real supplier)</t>
  </si>
  <si>
    <t xml:space="preserve">n/a</t>
  </si>
  <si>
    <t xml:space="preserve">Not a real supplier — a single one-off purchase.</t>
  </si>
  <si>
    <t xml:space="preserve">No company registry or web footprint exists.</t>
  </si>
  <si>
    <t xml:space="preserve">n/a.</t>
  </si>
  <si>
    <t xml:space="preserve">FDC SAP shows ONE receipt ever: 31 kg of laminate for ₹7,775 (Mar-2026).</t>
  </si>
  <si>
    <t xml:space="preserve">A trivial one-off mistakenly surfaced as an 'alternative'.</t>
  </si>
  <si>
    <t xml:space="preserve">Remove from the alternatives list (confirming with you first — nothing dropped unilaterally).</t>
  </si>
  <si>
    <t xml:space="preserve">High (nothing there)</t>
  </si>
  <si>
    <t xml:space="preserve">Level</t>
  </si>
  <si>
    <t xml:space="preserve">Headline</t>
  </si>
  <si>
    <t xml:space="preserve">The finding</t>
  </si>
  <si>
    <t xml:space="preserve">What to do</t>
  </si>
  <si>
    <t xml:space="preserve">Source</t>
  </si>
  <si>
    <t xml:space="preserve">RED</t>
  </si>
  <si>
    <t xml:space="preserve">Kilitch Healthcare</t>
  </si>
  <si>
    <t xml:space="preserve">FDA data-fabrication + US import ban</t>
  </si>
  <si>
    <t xml:space="preserve">US FDA Warning Letter (28-Mar-2024): 'routine practice to fabricate results for samples that were never taken.' On Import Alert 66-40 since Oct-2023 (unresolved); the maker behind the 2023 US store-brand eye-drop recall; a US product-liability lawsuit. Fabricated QC data undermines trust in ALL their release paperwork — directly relevant to the 211-day-old stock FDC flagged.</t>
  </si>
  <si>
    <t xml:space="preserve">Require their FDA remediation/CAPA evidence and re-qualify, or move the business.</t>
  </si>
  <si>
    <t xml:space="preserve">fda.gov Warning Letter 320-24-29 (verified)</t>
  </si>
  <si>
    <t xml:space="preserve">GEEP Industries (biggest laminate supplier)</t>
  </si>
  <si>
    <t xml:space="preserve">Convicted cartelist</t>
  </si>
  <si>
    <t xml:space="preserve">CCI found GEEP guilty (2018) of price-fixing dry-cell batteries with Panasonic; NCLAT upheld the guilt finding (2023), penalty ₹2.41 cr. 'GEEP' is really the old batteries/torch brand — laminate is a sideline, and its credit looks stale/opaque.</t>
  </si>
  <si>
    <t xml:space="preserve">Push price hard; don't grow reliance; keep a credible second laminate source ready.</t>
  </si>
  <si>
    <t xml:space="preserve">CCI order Aug-2018 (via AZB)</t>
  </si>
  <si>
    <t xml:space="preserve">Chairman convicted in a corruption case</t>
  </si>
  <si>
    <t xml:space="preserve">Founder-chairman Ashok Chaturvedi was convicted (2010 Noida land-allotment scam, 4-yr sentence); conviction never stayed, appeal unresolved ~15 yrs (verified vs the Allahabad HC order — definitely the UFlex promoter, not the same-named spy chief). Also heavily indebted (net-debt/EBITDA 4.25x, outlook Negative). NB: the 2023 tax-raid headline collapsed at the tax tribunal.</t>
  </si>
  <si>
    <t xml:space="preserve">Use as a price benchmark only; don't concentrate volume; monitor the credit outlook.</t>
  </si>
  <si>
    <t xml:space="preserve">Allahabad HC order 2010; CRISIL Aug-2026</t>
  </si>
  <si>
    <t xml:space="preserve">GLS Films</t>
  </si>
  <si>
    <t xml:space="preserve">Near-insolvency + a fatal fire at the parent group</t>
  </si>
  <si>
    <t xml:space="preserve">A creditor got GLS admitted to insolvency (NCLAT 2025); the Supreme Court reversed it (2026). The group did NOT cover its interest in FY24, and shows 'rating-shopping'. SEPARATELY, a reactor blast at sister co GLS Speciality Chemicals killed 4 workers (May-2026); the fire-safety officer was arrested and the complaint alleged ignored safety warnings.</t>
  </si>
  <si>
    <t xml:space="preserve">Push price hard; don't increase reliance without fresh financial + safety comfort.</t>
  </si>
  <si>
    <t xml:space="preserve">Supreme Court 2026; Tribune (fire) 2026</t>
  </si>
  <si>
    <t xml:space="preserve">WATCH</t>
  </si>
  <si>
    <t xml:space="preserve">Financially fragile (recovering)</t>
  </si>
  <si>
    <t xml:space="preserve">A suggested dextrose alternative that nearly went cash-negative (FY25 operating profit negative; CARE BB+, below investment grade). Now recovering — outlook moved to Positive (Sep-2026) — but held together by promoter loans + a ₹73 cr land sale.</t>
  </si>
  <si>
    <t xml:space="preserve">Small price-lever second source only; don't move large/sole volume until the recovery proves out.</t>
  </si>
  <si>
    <t xml:space="preserve">CARE Nov-2025 / Jun-2026 / Sep-2026</t>
  </si>
  <si>
    <t xml:space="preserve">PGP Glass</t>
  </si>
  <si>
    <t xml:space="preserve">Ownership in flux</t>
  </si>
  <si>
    <t xml:space="preserve">A capable, A+-rated glass supplier, but owner Blackstone is running a parallel IPO (~$4bn aspiration) AND trade-sale talks (Brookfield ~$1.3-1.5bn), plus a ₹2,597 cr refinancing due Mar-2026. An ownership change could shift priorities away from low-margin domestic pharma.</t>
  </si>
  <si>
    <t xml:space="preserve">Keep, but monitor the Blackstone IPO/sale and the refinancing.</t>
  </si>
  <si>
    <t xml:space="preserve">CARE Dec-2025; press 2026</t>
  </si>
  <si>
    <t xml:space="preserve">May be a logistics firm, not a packaging maker</t>
  </si>
  <si>
    <t xml:space="preserve">Despite the 'containers' name and a thin packaging listing, the evidence (courier GST codes, multi-state registrations, the Scorpion Express 3PL group) points to logistics/freight. The FDC relationship may be transport, not bottles.</t>
  </si>
  <si>
    <t xml:space="preserve">Confirm what they actually supply you (packaging vs freight) before treating them as a packaging vendor.</t>
  </si>
  <si>
    <t xml:space="preserve">MCA; GST (logistics SAC codes)</t>
  </si>
  <si>
    <t xml:space="preserve">Leadership reset</t>
  </si>
  <si>
    <t xml:space="preserve">Financially very strong (AA-, low debt), but the MD and CFO both resigned within ~3 months (late-2025); a minor auditor IT-controls/audit-trail flag + some disputed tax demands were also noted.</t>
  </si>
  <si>
    <t xml:space="preserve">Safe to move volume + push price; just monitor the leadership churn.</t>
  </si>
  <si>
    <t xml:space="preserve">NOTE</t>
  </si>
  <si>
    <t xml:space="preserve">Not a real supplier</t>
  </si>
  <si>
    <t xml:space="preserve">FDC's own SAP records show a single ₹7,775 / 31 kg laminate purchase (Mar-2026). No registry or web footprint exists.</t>
  </si>
  <si>
    <t xml:space="preserve">Remove from the 'alternatives' list (confirming with you first).</t>
  </si>
  <si>
    <t xml:space="preserve">FDC supplier due-diligence — summary</t>
  </si>
  <si>
    <t xml:space="preserve">Risk distribution (all 27 vendors)</t>
  </si>
  <si>
    <t xml:space="preserve">Red (serious documented flag)</t>
  </si>
  <si>
    <t xml:space="preserve">Amber (concern to weigh)</t>
  </si>
  <si>
    <t xml:space="preserve">Green (financially strong / low-risk)</t>
  </si>
  <si>
    <t xml:space="preserve">Not a supplier (one-off)</t>
  </si>
  <si>
    <t xml:space="preserve">Total vendors</t>
  </si>
  <si>
    <t xml:space="preserve">Total annual spend covered (₹ Cr)</t>
  </si>
  <si>
    <t xml:space="preserve">Method: each vendor was researched across ~50 angles (capacity, financials &amp; credit, legal/regulatory/safety, management, ESG/reputation, customers, news) using web + news search. The serious red flags (Kilitch FDA, GEEP cartel, UFlex chairman, GLS fire/near-insolvency) were verified against primary sources (FDA, CCI, courts, Supreme Court). The 'ghost' alternatives were resolved against FDC's own SAP purchase registers. Qualitative facts are from rating-agency rationales (CARE/CRISIL/ICRA/Infomerics), company filings, court records, and established business press; every claim is a lead to verify before acting, not a final legal conclusion. Where an entity or figure could not be verified, it is marked as such rather than guessed. Full sourced detail: research/supplier-due-diligence.md.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</si>
</sst>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46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40"/>
    <col collapsed="false" customWidth="true" hidden="false" outlineLevel="0" max="11" min="11" style="0" width="28"/>
    <col collapsed="false" customWidth="true" hidden="false" outlineLevel="0" max="13" min="12" style="0" width="26"/>
    <col collapsed="false" customWidth="true" hidden="false" outlineLevel="0" max="14" min="14" style="0" width="40"/>
    <col collapsed="false" customWidth="true" hidden="false" outlineLevel="0" max="15" min="15" style="0" width="34"/>
    <col collapsed="false" customWidth="true" hidden="false" outlineLevel="0" max="16" min="16" style="0" width="14"/>
    <col collapsed="false" customWidth="true" hidden="false" outlineLevel="0" max="17" min="17" style="0" width="2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46.25" hidden="false" customHeight="false" outlineLevel="0" collapsed="false">
      <c r="A2" s="2" t="s">
        <v>17</v>
      </c>
      <c r="B2" s="3" t="s">
        <v>18</v>
      </c>
      <c r="C2" s="4" t="n">
        <v>28.31</v>
      </c>
      <c r="D2" s="3" t="s">
        <v>19</v>
      </c>
      <c r="E2" s="5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 customFormat="false" ht="102.2" hidden="false" customHeight="false" outlineLevel="0" collapsed="false">
      <c r="A3" s="2" t="s">
        <v>33</v>
      </c>
      <c r="B3" s="3" t="s">
        <v>34</v>
      </c>
      <c r="C3" s="4" t="n">
        <v>21.21</v>
      </c>
      <c r="D3" s="3" t="s">
        <v>35</v>
      </c>
      <c r="E3" s="6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31</v>
      </c>
      <c r="Q3" s="3" t="s">
        <v>47</v>
      </c>
    </row>
    <row r="4" customFormat="false" ht="79.85" hidden="false" customHeight="false" outlineLevel="0" collapsed="false">
      <c r="A4" s="2" t="s">
        <v>48</v>
      </c>
      <c r="B4" s="3" t="s">
        <v>34</v>
      </c>
      <c r="C4" s="4" t="n">
        <v>15.03</v>
      </c>
      <c r="D4" s="3" t="s">
        <v>49</v>
      </c>
      <c r="E4" s="6" t="s">
        <v>36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31</v>
      </c>
      <c r="Q4" s="3" t="s">
        <v>60</v>
      </c>
    </row>
    <row r="5" customFormat="false" ht="113.4" hidden="false" customHeight="false" outlineLevel="0" collapsed="false">
      <c r="A5" s="2" t="s">
        <v>61</v>
      </c>
      <c r="B5" s="3" t="s">
        <v>18</v>
      </c>
      <c r="C5" s="4" t="n">
        <v>6.47</v>
      </c>
      <c r="D5" s="3" t="s">
        <v>49</v>
      </c>
      <c r="E5" s="6" t="s">
        <v>36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71</v>
      </c>
      <c r="P5" s="3" t="s">
        <v>31</v>
      </c>
      <c r="Q5" s="3" t="s">
        <v>72</v>
      </c>
    </row>
    <row r="6" customFormat="false" ht="91" hidden="false" customHeight="false" outlineLevel="0" collapsed="false">
      <c r="A6" s="2" t="s">
        <v>73</v>
      </c>
      <c r="B6" s="3" t="s">
        <v>74</v>
      </c>
      <c r="C6" s="4" t="n">
        <v>5.49</v>
      </c>
      <c r="D6" s="3" t="s">
        <v>75</v>
      </c>
      <c r="E6" s="7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3" t="s">
        <v>81</v>
      </c>
      <c r="K6" s="3" t="s">
        <v>82</v>
      </c>
      <c r="L6" s="3" t="s">
        <v>83</v>
      </c>
      <c r="M6" s="3" t="s">
        <v>84</v>
      </c>
      <c r="N6" s="3" t="s">
        <v>85</v>
      </c>
      <c r="O6" s="3" t="s">
        <v>86</v>
      </c>
      <c r="P6" s="3" t="s">
        <v>31</v>
      </c>
      <c r="Q6" s="3" t="s">
        <v>87</v>
      </c>
    </row>
    <row r="7" customFormat="false" ht="35.05" hidden="false" customHeight="false" outlineLevel="0" collapsed="false">
      <c r="A7" s="2" t="s">
        <v>88</v>
      </c>
      <c r="B7" s="3" t="s">
        <v>89</v>
      </c>
      <c r="C7" s="4" t="n">
        <v>5.46</v>
      </c>
      <c r="D7" s="3" t="s">
        <v>90</v>
      </c>
      <c r="E7" s="6" t="s">
        <v>36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98</v>
      </c>
      <c r="N7" s="3" t="s">
        <v>99</v>
      </c>
      <c r="O7" s="3" t="s">
        <v>100</v>
      </c>
      <c r="P7" s="3" t="s">
        <v>101</v>
      </c>
      <c r="Q7" s="3" t="s">
        <v>102</v>
      </c>
    </row>
    <row r="8" customFormat="false" ht="91" hidden="false" customHeight="false" outlineLevel="0" collapsed="false">
      <c r="A8" s="2" t="s">
        <v>103</v>
      </c>
      <c r="B8" s="3" t="s">
        <v>18</v>
      </c>
      <c r="C8" s="4" t="n">
        <v>2.31</v>
      </c>
      <c r="D8" s="3" t="s">
        <v>35</v>
      </c>
      <c r="E8" s="5" t="s">
        <v>20</v>
      </c>
      <c r="F8" s="3" t="s">
        <v>104</v>
      </c>
      <c r="G8" s="3" t="s">
        <v>105</v>
      </c>
      <c r="H8" s="3" t="s">
        <v>106</v>
      </c>
      <c r="I8" s="3" t="s">
        <v>107</v>
      </c>
      <c r="J8" s="3" t="s">
        <v>108</v>
      </c>
      <c r="K8" s="3" t="s">
        <v>109</v>
      </c>
      <c r="L8" s="3" t="s">
        <v>110</v>
      </c>
      <c r="M8" s="3" t="s">
        <v>111</v>
      </c>
      <c r="N8" s="3" t="s">
        <v>112</v>
      </c>
      <c r="O8" s="3" t="s">
        <v>113</v>
      </c>
      <c r="P8" s="3" t="s">
        <v>31</v>
      </c>
      <c r="Q8" s="3" t="s">
        <v>114</v>
      </c>
    </row>
    <row r="9" customFormat="false" ht="46.25" hidden="false" customHeight="false" outlineLevel="0" collapsed="false">
      <c r="A9" s="2" t="s">
        <v>115</v>
      </c>
      <c r="B9" s="3" t="s">
        <v>116</v>
      </c>
      <c r="C9" s="4" t="n">
        <v>1.95</v>
      </c>
      <c r="D9" s="3" t="s">
        <v>35</v>
      </c>
      <c r="E9" s="6" t="s">
        <v>36</v>
      </c>
      <c r="F9" s="3" t="s">
        <v>117</v>
      </c>
      <c r="G9" s="3" t="s">
        <v>118</v>
      </c>
      <c r="H9" s="3" t="s">
        <v>119</v>
      </c>
      <c r="I9" s="3" t="s">
        <v>120</v>
      </c>
      <c r="J9" s="3" t="s">
        <v>121</v>
      </c>
      <c r="K9" s="3" t="s">
        <v>122</v>
      </c>
      <c r="L9" s="3" t="s">
        <v>123</v>
      </c>
      <c r="M9" s="3" t="s">
        <v>124</v>
      </c>
      <c r="N9" s="3" t="s">
        <v>125</v>
      </c>
      <c r="O9" s="3" t="s">
        <v>126</v>
      </c>
      <c r="P9" s="3" t="s">
        <v>101</v>
      </c>
      <c r="Q9" s="3" t="s">
        <v>127</v>
      </c>
    </row>
    <row r="10" customFormat="false" ht="35.05" hidden="false" customHeight="false" outlineLevel="0" collapsed="false">
      <c r="A10" s="2" t="s">
        <v>128</v>
      </c>
      <c r="B10" s="3" t="s">
        <v>129</v>
      </c>
      <c r="C10" s="4" t="n">
        <v>1.92</v>
      </c>
      <c r="D10" s="3" t="s">
        <v>130</v>
      </c>
      <c r="E10" s="6" t="s">
        <v>36</v>
      </c>
      <c r="F10" s="3" t="s">
        <v>131</v>
      </c>
      <c r="G10" s="3" t="s">
        <v>132</v>
      </c>
      <c r="H10" s="3" t="s">
        <v>133</v>
      </c>
      <c r="I10" s="3" t="s">
        <v>134</v>
      </c>
      <c r="J10" s="3" t="s">
        <v>135</v>
      </c>
      <c r="K10" s="3" t="s">
        <v>136</v>
      </c>
      <c r="L10" s="3" t="s">
        <v>123</v>
      </c>
      <c r="M10" s="3" t="s">
        <v>137</v>
      </c>
      <c r="N10" s="3" t="s">
        <v>138</v>
      </c>
      <c r="O10" s="3" t="s">
        <v>139</v>
      </c>
      <c r="P10" s="3" t="s">
        <v>140</v>
      </c>
      <c r="Q10" s="3" t="s">
        <v>141</v>
      </c>
    </row>
    <row r="11" customFormat="false" ht="46.25" hidden="false" customHeight="false" outlineLevel="0" collapsed="false">
      <c r="A11" s="2" t="s">
        <v>142</v>
      </c>
      <c r="B11" s="3" t="s">
        <v>143</v>
      </c>
      <c r="C11" s="4" t="n">
        <v>1.29</v>
      </c>
      <c r="D11" s="3" t="s">
        <v>130</v>
      </c>
      <c r="E11" s="6" t="s">
        <v>36</v>
      </c>
      <c r="F11" s="3" t="s">
        <v>144</v>
      </c>
      <c r="G11" s="3" t="s">
        <v>145</v>
      </c>
      <c r="H11" s="3" t="s">
        <v>146</v>
      </c>
      <c r="I11" s="3" t="s">
        <v>147</v>
      </c>
      <c r="J11" s="3" t="s">
        <v>148</v>
      </c>
      <c r="K11" s="3" t="s">
        <v>149</v>
      </c>
      <c r="L11" s="3" t="s">
        <v>123</v>
      </c>
      <c r="M11" s="3" t="s">
        <v>137</v>
      </c>
      <c r="N11" s="3" t="s">
        <v>150</v>
      </c>
      <c r="O11" s="3" t="s">
        <v>151</v>
      </c>
      <c r="P11" s="3" t="s">
        <v>152</v>
      </c>
      <c r="Q11" s="3" t="s">
        <v>141</v>
      </c>
    </row>
    <row r="12" customFormat="false" ht="35.05" hidden="false" customHeight="false" outlineLevel="0" collapsed="false">
      <c r="A12" s="2" t="s">
        <v>153</v>
      </c>
      <c r="B12" s="3" t="s">
        <v>154</v>
      </c>
      <c r="C12" s="4" t="n">
        <v>1.24</v>
      </c>
      <c r="D12" s="3" t="s">
        <v>130</v>
      </c>
      <c r="E12" s="6" t="s">
        <v>36</v>
      </c>
      <c r="F12" s="3" t="s">
        <v>155</v>
      </c>
      <c r="G12" s="3" t="s">
        <v>156</v>
      </c>
      <c r="H12" s="3" t="s">
        <v>157</v>
      </c>
      <c r="I12" s="3" t="s">
        <v>158</v>
      </c>
      <c r="J12" s="3" t="s">
        <v>148</v>
      </c>
      <c r="K12" s="3" t="s">
        <v>159</v>
      </c>
      <c r="L12" s="3" t="s">
        <v>123</v>
      </c>
      <c r="M12" s="3" t="s">
        <v>137</v>
      </c>
      <c r="N12" s="3" t="s">
        <v>160</v>
      </c>
      <c r="O12" s="3" t="s">
        <v>161</v>
      </c>
      <c r="P12" s="3" t="s">
        <v>152</v>
      </c>
      <c r="Q12" s="3" t="s">
        <v>141</v>
      </c>
    </row>
    <row r="13" customFormat="false" ht="35.05" hidden="false" customHeight="false" outlineLevel="0" collapsed="false">
      <c r="A13" s="2" t="s">
        <v>162</v>
      </c>
      <c r="B13" s="3" t="s">
        <v>34</v>
      </c>
      <c r="C13" s="4" t="n">
        <v>1.06</v>
      </c>
      <c r="D13" s="3" t="s">
        <v>163</v>
      </c>
      <c r="E13" s="7" t="s">
        <v>76</v>
      </c>
      <c r="F13" s="3" t="s">
        <v>164</v>
      </c>
      <c r="G13" s="3" t="s">
        <v>165</v>
      </c>
      <c r="H13" s="3" t="s">
        <v>166</v>
      </c>
      <c r="I13" s="3" t="s">
        <v>167</v>
      </c>
      <c r="J13" s="3" t="s">
        <v>168</v>
      </c>
      <c r="K13" s="3" t="s">
        <v>169</v>
      </c>
      <c r="L13" s="3" t="s">
        <v>170</v>
      </c>
      <c r="M13" s="3" t="s">
        <v>171</v>
      </c>
      <c r="N13" s="3" t="s">
        <v>172</v>
      </c>
      <c r="O13" s="3" t="s">
        <v>173</v>
      </c>
      <c r="P13" s="3" t="s">
        <v>31</v>
      </c>
      <c r="Q13" s="3" t="s">
        <v>174</v>
      </c>
    </row>
    <row r="14" customFormat="false" ht="35.05" hidden="false" customHeight="false" outlineLevel="0" collapsed="false">
      <c r="A14" s="2" t="s">
        <v>175</v>
      </c>
      <c r="B14" s="3" t="s">
        <v>176</v>
      </c>
      <c r="C14" s="4" t="n">
        <v>0.81</v>
      </c>
      <c r="D14" s="3" t="s">
        <v>130</v>
      </c>
      <c r="E14" s="7" t="s">
        <v>76</v>
      </c>
      <c r="F14" s="3" t="s">
        <v>177</v>
      </c>
      <c r="G14" s="3" t="s">
        <v>178</v>
      </c>
      <c r="H14" s="3" t="s">
        <v>179</v>
      </c>
      <c r="I14" s="3" t="s">
        <v>180</v>
      </c>
      <c r="J14" s="3" t="s">
        <v>181</v>
      </c>
      <c r="K14" s="3" t="s">
        <v>182</v>
      </c>
      <c r="L14" s="3" t="s">
        <v>183</v>
      </c>
      <c r="M14" s="3" t="s">
        <v>184</v>
      </c>
      <c r="N14" s="3" t="s">
        <v>185</v>
      </c>
      <c r="O14" s="3" t="s">
        <v>186</v>
      </c>
      <c r="P14" s="3" t="s">
        <v>187</v>
      </c>
      <c r="Q14" s="3" t="s">
        <v>188</v>
      </c>
    </row>
    <row r="15" customFormat="false" ht="79.85" hidden="false" customHeight="false" outlineLevel="0" collapsed="false">
      <c r="A15" s="2" t="s">
        <v>189</v>
      </c>
      <c r="B15" s="3" t="s">
        <v>190</v>
      </c>
      <c r="C15" s="4" t="n">
        <v>0.67</v>
      </c>
      <c r="D15" s="3" t="s">
        <v>191</v>
      </c>
      <c r="E15" s="7" t="s">
        <v>76</v>
      </c>
      <c r="F15" s="3" t="s">
        <v>192</v>
      </c>
      <c r="G15" s="3" t="s">
        <v>193</v>
      </c>
      <c r="H15" s="3" t="s">
        <v>194</v>
      </c>
      <c r="I15" s="3" t="s">
        <v>195</v>
      </c>
      <c r="J15" s="3" t="s">
        <v>196</v>
      </c>
      <c r="K15" s="3" t="s">
        <v>197</v>
      </c>
      <c r="L15" s="3" t="s">
        <v>198</v>
      </c>
      <c r="M15" s="3" t="s">
        <v>199</v>
      </c>
      <c r="N15" s="3" t="s">
        <v>200</v>
      </c>
      <c r="O15" s="3" t="s">
        <v>201</v>
      </c>
      <c r="P15" s="3" t="s">
        <v>31</v>
      </c>
      <c r="Q15" s="3" t="s">
        <v>202</v>
      </c>
    </row>
    <row r="16" customFormat="false" ht="68.65" hidden="false" customHeight="false" outlineLevel="0" collapsed="false">
      <c r="A16" s="2" t="s">
        <v>203</v>
      </c>
      <c r="B16" s="3" t="s">
        <v>204</v>
      </c>
      <c r="C16" s="4" t="n">
        <v>0.65</v>
      </c>
      <c r="D16" s="3" t="s">
        <v>75</v>
      </c>
      <c r="E16" s="5" t="s">
        <v>20</v>
      </c>
      <c r="F16" s="3" t="s">
        <v>205</v>
      </c>
      <c r="G16" s="3" t="s">
        <v>206</v>
      </c>
      <c r="H16" s="3" t="s">
        <v>207</v>
      </c>
      <c r="I16" s="3" t="s">
        <v>208</v>
      </c>
      <c r="J16" s="3" t="s">
        <v>209</v>
      </c>
      <c r="K16" s="3" t="s">
        <v>210</v>
      </c>
      <c r="L16" s="3" t="s">
        <v>211</v>
      </c>
      <c r="M16" s="3" t="s">
        <v>212</v>
      </c>
      <c r="N16" s="3" t="s">
        <v>213</v>
      </c>
      <c r="O16" s="3" t="s">
        <v>214</v>
      </c>
      <c r="P16" s="3" t="s">
        <v>215</v>
      </c>
      <c r="Q16" s="3" t="s">
        <v>216</v>
      </c>
    </row>
    <row r="17" customFormat="false" ht="57.45" hidden="false" customHeight="false" outlineLevel="0" collapsed="false">
      <c r="A17" s="2" t="s">
        <v>217</v>
      </c>
      <c r="B17" s="3" t="s">
        <v>218</v>
      </c>
      <c r="C17" s="4" t="n">
        <v>0.63</v>
      </c>
      <c r="D17" s="3" t="s">
        <v>191</v>
      </c>
      <c r="E17" s="7" t="s">
        <v>76</v>
      </c>
      <c r="F17" s="3" t="s">
        <v>219</v>
      </c>
      <c r="G17" s="3" t="s">
        <v>220</v>
      </c>
      <c r="H17" s="3" t="s">
        <v>221</v>
      </c>
      <c r="I17" s="3" t="s">
        <v>222</v>
      </c>
      <c r="J17" s="3" t="s">
        <v>223</v>
      </c>
      <c r="K17" s="3" t="s">
        <v>224</v>
      </c>
      <c r="L17" s="3" t="s">
        <v>225</v>
      </c>
      <c r="M17" s="3" t="s">
        <v>226</v>
      </c>
      <c r="N17" s="3" t="s">
        <v>227</v>
      </c>
      <c r="O17" s="3" t="s">
        <v>228</v>
      </c>
      <c r="P17" s="3" t="s">
        <v>101</v>
      </c>
      <c r="Q17" s="3" t="s">
        <v>229</v>
      </c>
    </row>
    <row r="18" customFormat="false" ht="46.25" hidden="false" customHeight="false" outlineLevel="0" collapsed="false">
      <c r="A18" s="2" t="s">
        <v>230</v>
      </c>
      <c r="B18" s="3" t="s">
        <v>34</v>
      </c>
      <c r="C18" s="4" t="n">
        <v>0.6</v>
      </c>
      <c r="D18" s="3" t="s">
        <v>35</v>
      </c>
      <c r="E18" s="6" t="s">
        <v>36</v>
      </c>
      <c r="F18" s="3" t="s">
        <v>231</v>
      </c>
      <c r="G18" s="3" t="s">
        <v>232</v>
      </c>
      <c r="H18" s="3" t="s">
        <v>233</v>
      </c>
      <c r="I18" s="3" t="s">
        <v>234</v>
      </c>
      <c r="J18" s="3" t="s">
        <v>235</v>
      </c>
      <c r="K18" s="3" t="s">
        <v>236</v>
      </c>
      <c r="L18" s="3" t="s">
        <v>237</v>
      </c>
      <c r="M18" s="3" t="s">
        <v>238</v>
      </c>
      <c r="N18" s="3" t="s">
        <v>239</v>
      </c>
      <c r="O18" s="3" t="s">
        <v>240</v>
      </c>
      <c r="P18" s="3" t="s">
        <v>101</v>
      </c>
      <c r="Q18" s="3" t="s">
        <v>241</v>
      </c>
    </row>
    <row r="19" customFormat="false" ht="35.05" hidden="false" customHeight="false" outlineLevel="0" collapsed="false">
      <c r="A19" s="2" t="s">
        <v>242</v>
      </c>
      <c r="B19" s="3" t="s">
        <v>243</v>
      </c>
      <c r="C19" s="4" t="n">
        <v>0.58</v>
      </c>
      <c r="D19" s="3" t="s">
        <v>49</v>
      </c>
      <c r="E19" s="6" t="s">
        <v>36</v>
      </c>
      <c r="F19" s="3" t="s">
        <v>244</v>
      </c>
      <c r="G19" s="3" t="s">
        <v>245</v>
      </c>
      <c r="H19" s="3" t="s">
        <v>246</v>
      </c>
      <c r="I19" s="3" t="s">
        <v>247</v>
      </c>
      <c r="J19" s="3" t="s">
        <v>248</v>
      </c>
      <c r="K19" s="3" t="s">
        <v>249</v>
      </c>
      <c r="L19" s="3" t="s">
        <v>123</v>
      </c>
      <c r="M19" s="3" t="s">
        <v>250</v>
      </c>
      <c r="N19" s="3" t="s">
        <v>251</v>
      </c>
      <c r="O19" s="3" t="s">
        <v>252</v>
      </c>
      <c r="P19" s="3" t="s">
        <v>253</v>
      </c>
      <c r="Q19" s="3" t="s">
        <v>254</v>
      </c>
    </row>
    <row r="20" customFormat="false" ht="46.25" hidden="false" customHeight="false" outlineLevel="0" collapsed="false">
      <c r="A20" s="2" t="s">
        <v>255</v>
      </c>
      <c r="B20" s="3" t="s">
        <v>256</v>
      </c>
      <c r="C20" s="4" t="n">
        <v>0.44</v>
      </c>
      <c r="D20" s="3" t="s">
        <v>191</v>
      </c>
      <c r="E20" s="6" t="s">
        <v>36</v>
      </c>
      <c r="F20" s="3" t="s">
        <v>257</v>
      </c>
      <c r="G20" s="3" t="s">
        <v>258</v>
      </c>
      <c r="H20" s="3" t="s">
        <v>259</v>
      </c>
      <c r="I20" s="3" t="s">
        <v>260</v>
      </c>
      <c r="J20" s="3" t="s">
        <v>261</v>
      </c>
      <c r="K20" s="3" t="s">
        <v>262</v>
      </c>
      <c r="L20" s="3" t="s">
        <v>263</v>
      </c>
      <c r="M20" s="3" t="s">
        <v>137</v>
      </c>
      <c r="N20" s="3" t="s">
        <v>264</v>
      </c>
      <c r="O20" s="3" t="s">
        <v>265</v>
      </c>
      <c r="P20" s="3" t="s">
        <v>266</v>
      </c>
      <c r="Q20" s="3" t="s">
        <v>267</v>
      </c>
    </row>
    <row r="21" customFormat="false" ht="79.85" hidden="false" customHeight="false" outlineLevel="0" collapsed="false">
      <c r="A21" s="2" t="s">
        <v>268</v>
      </c>
      <c r="B21" s="3" t="s">
        <v>269</v>
      </c>
      <c r="C21" s="4" t="n">
        <v>0.4</v>
      </c>
      <c r="D21" s="3" t="s">
        <v>191</v>
      </c>
      <c r="E21" s="7" t="s">
        <v>76</v>
      </c>
      <c r="F21" s="3" t="s">
        <v>270</v>
      </c>
      <c r="G21" s="3" t="s">
        <v>271</v>
      </c>
      <c r="H21" s="3" t="s">
        <v>272</v>
      </c>
      <c r="I21" s="3" t="s">
        <v>273</v>
      </c>
      <c r="J21" s="3" t="s">
        <v>274</v>
      </c>
      <c r="K21" s="3" t="s">
        <v>275</v>
      </c>
      <c r="L21" s="3" t="s">
        <v>276</v>
      </c>
      <c r="M21" s="3" t="s">
        <v>277</v>
      </c>
      <c r="N21" s="3" t="s">
        <v>278</v>
      </c>
      <c r="O21" s="3" t="s">
        <v>279</v>
      </c>
      <c r="P21" s="3" t="s">
        <v>31</v>
      </c>
      <c r="Q21" s="3" t="s">
        <v>280</v>
      </c>
    </row>
    <row r="22" customFormat="false" ht="46.25" hidden="false" customHeight="false" outlineLevel="0" collapsed="false">
      <c r="A22" s="2" t="s">
        <v>281</v>
      </c>
      <c r="B22" s="3" t="s">
        <v>282</v>
      </c>
      <c r="C22" s="4" t="n">
        <v>0.27</v>
      </c>
      <c r="D22" s="3" t="s">
        <v>191</v>
      </c>
      <c r="E22" s="6" t="s">
        <v>36</v>
      </c>
      <c r="F22" s="3" t="s">
        <v>283</v>
      </c>
      <c r="G22" s="3" t="s">
        <v>284</v>
      </c>
      <c r="H22" s="3" t="s">
        <v>285</v>
      </c>
      <c r="I22" s="3" t="s">
        <v>286</v>
      </c>
      <c r="J22" s="3" t="s">
        <v>287</v>
      </c>
      <c r="K22" s="3" t="s">
        <v>288</v>
      </c>
      <c r="L22" s="3" t="s">
        <v>289</v>
      </c>
      <c r="M22" s="3" t="s">
        <v>137</v>
      </c>
      <c r="N22" s="3" t="s">
        <v>290</v>
      </c>
      <c r="O22" s="3" t="s">
        <v>291</v>
      </c>
      <c r="P22" s="3" t="s">
        <v>292</v>
      </c>
      <c r="Q22" s="3" t="s">
        <v>293</v>
      </c>
    </row>
    <row r="23" customFormat="false" ht="46.25" hidden="false" customHeight="false" outlineLevel="0" collapsed="false">
      <c r="A23" s="2" t="s">
        <v>294</v>
      </c>
      <c r="B23" s="3" t="s">
        <v>295</v>
      </c>
      <c r="C23" s="4" t="n">
        <v>0.26</v>
      </c>
      <c r="D23" s="3" t="s">
        <v>191</v>
      </c>
      <c r="E23" s="7" t="s">
        <v>76</v>
      </c>
      <c r="F23" s="3" t="s">
        <v>296</v>
      </c>
      <c r="G23" s="3" t="s">
        <v>297</v>
      </c>
      <c r="H23" s="3" t="s">
        <v>298</v>
      </c>
      <c r="I23" s="3" t="s">
        <v>299</v>
      </c>
      <c r="J23" s="3" t="s">
        <v>300</v>
      </c>
      <c r="K23" s="3" t="s">
        <v>301</v>
      </c>
      <c r="L23" s="3" t="s">
        <v>302</v>
      </c>
      <c r="M23" s="3" t="s">
        <v>303</v>
      </c>
      <c r="N23" s="3" t="s">
        <v>304</v>
      </c>
      <c r="O23" s="3" t="s">
        <v>305</v>
      </c>
      <c r="P23" s="3" t="s">
        <v>31</v>
      </c>
      <c r="Q23" s="3" t="s">
        <v>306</v>
      </c>
    </row>
    <row r="24" customFormat="false" ht="35.05" hidden="false" customHeight="false" outlineLevel="0" collapsed="false">
      <c r="A24" s="2" t="s">
        <v>307</v>
      </c>
      <c r="B24" s="3" t="s">
        <v>116</v>
      </c>
      <c r="C24" s="4" t="n">
        <v>0.11</v>
      </c>
      <c r="D24" s="3" t="s">
        <v>308</v>
      </c>
      <c r="E24" s="7" t="s">
        <v>76</v>
      </c>
      <c r="F24" s="3" t="s">
        <v>309</v>
      </c>
      <c r="G24" s="3" t="s">
        <v>310</v>
      </c>
      <c r="H24" s="3" t="s">
        <v>311</v>
      </c>
      <c r="I24" s="3" t="s">
        <v>312</v>
      </c>
      <c r="J24" s="3" t="s">
        <v>313</v>
      </c>
      <c r="K24" s="3" t="s">
        <v>314</v>
      </c>
      <c r="L24" s="3" t="s">
        <v>315</v>
      </c>
      <c r="M24" s="3" t="s">
        <v>316</v>
      </c>
      <c r="N24" s="3" t="s">
        <v>317</v>
      </c>
      <c r="O24" s="3" t="s">
        <v>318</v>
      </c>
      <c r="P24" s="3" t="s">
        <v>31</v>
      </c>
      <c r="Q24" s="3" t="s">
        <v>319</v>
      </c>
    </row>
    <row r="25" customFormat="false" ht="46.25" hidden="false" customHeight="false" outlineLevel="0" collapsed="false">
      <c r="A25" s="2" t="s">
        <v>320</v>
      </c>
      <c r="B25" s="3" t="s">
        <v>18</v>
      </c>
      <c r="C25" s="4" t="n">
        <v>0.01</v>
      </c>
      <c r="D25" s="3" t="s">
        <v>308</v>
      </c>
      <c r="E25" s="7" t="s">
        <v>76</v>
      </c>
      <c r="F25" s="3" t="s">
        <v>321</v>
      </c>
      <c r="G25" s="3" t="s">
        <v>322</v>
      </c>
      <c r="H25" s="3" t="s">
        <v>323</v>
      </c>
      <c r="I25" s="3" t="s">
        <v>324</v>
      </c>
      <c r="J25" s="3" t="s">
        <v>325</v>
      </c>
      <c r="K25" s="3" t="s">
        <v>326</v>
      </c>
      <c r="L25" s="3" t="s">
        <v>327</v>
      </c>
      <c r="M25" s="3" t="s">
        <v>328</v>
      </c>
      <c r="N25" s="3" t="s">
        <v>329</v>
      </c>
      <c r="O25" s="3" t="s">
        <v>330</v>
      </c>
      <c r="P25" s="3" t="s">
        <v>31</v>
      </c>
      <c r="Q25" s="3" t="s">
        <v>331</v>
      </c>
    </row>
    <row r="26" customFormat="false" ht="57.45" hidden="false" customHeight="false" outlineLevel="0" collapsed="false">
      <c r="A26" s="2" t="s">
        <v>332</v>
      </c>
      <c r="B26" s="3" t="s">
        <v>18</v>
      </c>
      <c r="C26" s="4" t="n">
        <v>0.01</v>
      </c>
      <c r="D26" s="3" t="s">
        <v>308</v>
      </c>
      <c r="E26" s="5" t="s">
        <v>20</v>
      </c>
      <c r="F26" s="3" t="s">
        <v>333</v>
      </c>
      <c r="G26" s="3" t="s">
        <v>334</v>
      </c>
      <c r="H26" s="3" t="s">
        <v>335</v>
      </c>
      <c r="I26" s="3" t="s">
        <v>336</v>
      </c>
      <c r="J26" s="3" t="s">
        <v>337</v>
      </c>
      <c r="K26" s="3" t="s">
        <v>338</v>
      </c>
      <c r="L26" s="3" t="s">
        <v>339</v>
      </c>
      <c r="M26" s="3" t="s">
        <v>340</v>
      </c>
      <c r="N26" s="3" t="s">
        <v>341</v>
      </c>
      <c r="O26" s="3" t="s">
        <v>342</v>
      </c>
      <c r="P26" s="3" t="s">
        <v>31</v>
      </c>
      <c r="Q26" s="3" t="s">
        <v>343</v>
      </c>
    </row>
    <row r="27" customFormat="false" ht="57.45" hidden="false" customHeight="false" outlineLevel="0" collapsed="false">
      <c r="A27" s="2" t="s">
        <v>344</v>
      </c>
      <c r="B27" s="3" t="s">
        <v>345</v>
      </c>
      <c r="C27" s="4" t="n">
        <v>0.02</v>
      </c>
      <c r="D27" s="3" t="s">
        <v>191</v>
      </c>
      <c r="E27" s="6" t="s">
        <v>36</v>
      </c>
      <c r="F27" s="3" t="s">
        <v>346</v>
      </c>
      <c r="G27" s="3" t="s">
        <v>347</v>
      </c>
      <c r="H27" s="3" t="s">
        <v>348</v>
      </c>
      <c r="I27" s="3" t="s">
        <v>349</v>
      </c>
      <c r="J27" s="3" t="s">
        <v>350</v>
      </c>
      <c r="K27" s="3" t="s">
        <v>351</v>
      </c>
      <c r="L27" s="3" t="s">
        <v>289</v>
      </c>
      <c r="M27" s="3" t="s">
        <v>352</v>
      </c>
      <c r="N27" s="3" t="s">
        <v>353</v>
      </c>
      <c r="O27" s="3" t="s">
        <v>354</v>
      </c>
      <c r="P27" s="3" t="s">
        <v>355</v>
      </c>
      <c r="Q27" s="3" t="s">
        <v>356</v>
      </c>
    </row>
    <row r="28" customFormat="false" ht="35.05" hidden="false" customHeight="false" outlineLevel="0" collapsed="false">
      <c r="A28" s="2" t="s">
        <v>357</v>
      </c>
      <c r="B28" s="3" t="s">
        <v>358</v>
      </c>
      <c r="C28" s="4" t="n">
        <v>0</v>
      </c>
      <c r="D28" s="3" t="s">
        <v>359</v>
      </c>
      <c r="E28" s="8" t="s">
        <v>360</v>
      </c>
      <c r="F28" s="3" t="s">
        <v>361</v>
      </c>
      <c r="G28" s="3" t="s">
        <v>362</v>
      </c>
      <c r="H28" s="3" t="s">
        <v>363</v>
      </c>
      <c r="I28" s="3" t="s">
        <v>364</v>
      </c>
      <c r="J28" s="3" t="s">
        <v>363</v>
      </c>
      <c r="K28" s="3" t="s">
        <v>363</v>
      </c>
      <c r="L28" s="3" t="s">
        <v>363</v>
      </c>
      <c r="M28" s="3" t="s">
        <v>363</v>
      </c>
      <c r="N28" s="3" t="s">
        <v>365</v>
      </c>
      <c r="O28" s="3" t="s">
        <v>366</v>
      </c>
      <c r="P28" s="3" t="s">
        <v>367</v>
      </c>
      <c r="Q28" s="3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40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1" t="s">
        <v>368</v>
      </c>
      <c r="B1" s="1" t="s">
        <v>0</v>
      </c>
      <c r="C1" s="1" t="s">
        <v>369</v>
      </c>
      <c r="D1" s="1" t="s">
        <v>370</v>
      </c>
      <c r="E1" s="1" t="s">
        <v>371</v>
      </c>
      <c r="F1" s="1" t="s">
        <v>372</v>
      </c>
    </row>
    <row r="2" customFormat="false" ht="57.45" hidden="false" customHeight="false" outlineLevel="0" collapsed="false">
      <c r="A2" s="5" t="s">
        <v>373</v>
      </c>
      <c r="B2" s="2" t="s">
        <v>374</v>
      </c>
      <c r="C2" s="3" t="s">
        <v>375</v>
      </c>
      <c r="D2" s="3" t="s">
        <v>376</v>
      </c>
      <c r="E2" s="3" t="s">
        <v>377</v>
      </c>
      <c r="F2" s="3" t="s">
        <v>378</v>
      </c>
    </row>
    <row r="3" customFormat="false" ht="35.05" hidden="false" customHeight="false" outlineLevel="0" collapsed="false">
      <c r="A3" s="5" t="s">
        <v>373</v>
      </c>
      <c r="B3" s="2" t="s">
        <v>379</v>
      </c>
      <c r="C3" s="3" t="s">
        <v>380</v>
      </c>
      <c r="D3" s="3" t="s">
        <v>381</v>
      </c>
      <c r="E3" s="3" t="s">
        <v>382</v>
      </c>
      <c r="F3" s="3" t="s">
        <v>383</v>
      </c>
    </row>
    <row r="4" customFormat="false" ht="57.45" hidden="false" customHeight="false" outlineLevel="0" collapsed="false">
      <c r="A4" s="5" t="s">
        <v>373</v>
      </c>
      <c r="B4" s="2" t="s">
        <v>332</v>
      </c>
      <c r="C4" s="3" t="s">
        <v>384</v>
      </c>
      <c r="D4" s="3" t="s">
        <v>385</v>
      </c>
      <c r="E4" s="3" t="s">
        <v>386</v>
      </c>
      <c r="F4" s="3" t="s">
        <v>387</v>
      </c>
    </row>
    <row r="5" customFormat="false" ht="57.45" hidden="false" customHeight="false" outlineLevel="0" collapsed="false">
      <c r="A5" s="5" t="s">
        <v>373</v>
      </c>
      <c r="B5" s="2" t="s">
        <v>388</v>
      </c>
      <c r="C5" s="3" t="s">
        <v>389</v>
      </c>
      <c r="D5" s="3" t="s">
        <v>390</v>
      </c>
      <c r="E5" s="3" t="s">
        <v>391</v>
      </c>
      <c r="F5" s="3" t="s">
        <v>392</v>
      </c>
    </row>
    <row r="6" customFormat="false" ht="35.05" hidden="false" customHeight="false" outlineLevel="0" collapsed="false">
      <c r="A6" s="6" t="s">
        <v>393</v>
      </c>
      <c r="B6" s="2" t="s">
        <v>48</v>
      </c>
      <c r="C6" s="3" t="s">
        <v>394</v>
      </c>
      <c r="D6" s="3" t="s">
        <v>395</v>
      </c>
      <c r="E6" s="3" t="s">
        <v>396</v>
      </c>
      <c r="F6" s="3" t="s">
        <v>397</v>
      </c>
    </row>
    <row r="7" customFormat="false" ht="46.25" hidden="false" customHeight="false" outlineLevel="0" collapsed="false">
      <c r="A7" s="6" t="s">
        <v>393</v>
      </c>
      <c r="B7" s="2" t="s">
        <v>398</v>
      </c>
      <c r="C7" s="3" t="s">
        <v>399</v>
      </c>
      <c r="D7" s="3" t="s">
        <v>400</v>
      </c>
      <c r="E7" s="3" t="s">
        <v>401</v>
      </c>
      <c r="F7" s="3" t="s">
        <v>402</v>
      </c>
    </row>
    <row r="8" customFormat="false" ht="35.05" hidden="false" customHeight="false" outlineLevel="0" collapsed="false">
      <c r="A8" s="6" t="s">
        <v>393</v>
      </c>
      <c r="B8" s="2" t="s">
        <v>344</v>
      </c>
      <c r="C8" s="3" t="s">
        <v>403</v>
      </c>
      <c r="D8" s="3" t="s">
        <v>404</v>
      </c>
      <c r="E8" s="3" t="s">
        <v>405</v>
      </c>
      <c r="F8" s="3" t="s">
        <v>406</v>
      </c>
    </row>
    <row r="9" customFormat="false" ht="35.05" hidden="false" customHeight="false" outlineLevel="0" collapsed="false">
      <c r="A9" s="6" t="s">
        <v>393</v>
      </c>
      <c r="B9" s="2" t="s">
        <v>320</v>
      </c>
      <c r="C9" s="3" t="s">
        <v>407</v>
      </c>
      <c r="D9" s="3" t="s">
        <v>408</v>
      </c>
      <c r="E9" s="3" t="s">
        <v>409</v>
      </c>
      <c r="F9" s="3" t="s">
        <v>331</v>
      </c>
    </row>
    <row r="10" customFormat="false" ht="23.85" hidden="false" customHeight="false" outlineLevel="0" collapsed="false">
      <c r="A10" s="8" t="s">
        <v>410</v>
      </c>
      <c r="B10" s="2" t="s">
        <v>357</v>
      </c>
      <c r="C10" s="3" t="s">
        <v>411</v>
      </c>
      <c r="D10" s="3" t="s">
        <v>412</v>
      </c>
      <c r="E10" s="3" t="s">
        <v>413</v>
      </c>
      <c r="F10" s="3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6" min="3" style="0" width="18"/>
  </cols>
  <sheetData>
    <row r="1" customFormat="false" ht="16.15" hidden="false" customHeight="false" outlineLevel="0" collapsed="false">
      <c r="A1" s="9" t="s">
        <v>414</v>
      </c>
    </row>
    <row r="3" customFormat="false" ht="15" hidden="false" customHeight="false" outlineLevel="0" collapsed="false">
      <c r="A3" s="10" t="s">
        <v>415</v>
      </c>
    </row>
    <row r="4" customFormat="false" ht="15" hidden="false" customHeight="false" outlineLevel="0" collapsed="false">
      <c r="A4" s="11" t="s">
        <v>416</v>
      </c>
      <c r="B4" s="11" t="n">
        <f aca="false">COUNTIF('Suppliers (all 27)'!E2:E28,"Red")</f>
        <v>4</v>
      </c>
    </row>
    <row r="5" customFormat="false" ht="15" hidden="false" customHeight="false" outlineLevel="0" collapsed="false">
      <c r="A5" s="11" t="s">
        <v>417</v>
      </c>
      <c r="B5" s="11" t="n">
        <f aca="false">COUNTIF('Suppliers (all 27)'!E2:E28,"Amber")</f>
        <v>13</v>
      </c>
    </row>
    <row r="6" customFormat="false" ht="15" hidden="false" customHeight="false" outlineLevel="0" collapsed="false">
      <c r="A6" s="11" t="s">
        <v>418</v>
      </c>
      <c r="B6" s="11" t="n">
        <f aca="false">COUNTIF('Suppliers (all 27)'!E2:E28,"Green")</f>
        <v>9</v>
      </c>
    </row>
    <row r="7" customFormat="false" ht="15" hidden="false" customHeight="false" outlineLevel="0" collapsed="false">
      <c r="A7" s="11" t="s">
        <v>419</v>
      </c>
      <c r="B7" s="11" t="n">
        <f aca="false">COUNTIF('Suppliers (all 27)'!E2:E28,"n/a")</f>
        <v>1</v>
      </c>
    </row>
    <row r="8" customFormat="false" ht="15" hidden="false" customHeight="false" outlineLevel="0" collapsed="false">
      <c r="A8" s="10" t="s">
        <v>420</v>
      </c>
      <c r="B8" s="10" t="n">
        <f aca="false">COUNTA('Suppliers (all 27)'!E2:E28)</f>
        <v>27</v>
      </c>
    </row>
    <row r="10" customFormat="false" ht="15" hidden="false" customHeight="false" outlineLevel="0" collapsed="false">
      <c r="A10" s="10" t="s">
        <v>421</v>
      </c>
      <c r="B10" s="12" t="n">
        <f aca="false">SUM('Suppliers (all 27)'!C2:C28)</f>
        <v>97.2</v>
      </c>
    </row>
    <row r="13" customFormat="false" ht="15" hidden="false" customHeight="true" outlineLevel="0" collapsed="false">
      <c r="A13" s="13" t="s">
        <v>422</v>
      </c>
      <c r="B13" s="13"/>
      <c r="C13" s="13"/>
      <c r="D13" s="13"/>
      <c r="E13" s="13"/>
      <c r="F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</row>
  </sheetData>
  <mergeCells count="1">
    <mergeCell ref="A13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2026-10-21T14:01:36Z</dcterms:created>
  <dc:creator>openpyxl</dc:creator>
  <dc:description/>
  <dc:language>en-US</dc:language>
  <cp:lastModifiedBy/>
  <dcterms:modified xsi:type="dcterms:W3CDTF">2026-10-21T14:01:36Z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