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8.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Companies" sheetId="3" state="visible" r:id="rId5"/>
    <sheet name="Dextrose" sheetId="4" state="visible" r:id="rId6"/>
    <sheet name="Maize" sheetId="5" state="visible" r:id="rId7"/>
    <sheet name="PET Resin" sheetId="6" state="visible" r:id="rId8"/>
    <sheet name="PET Bottles &amp; Preforms" sheetId="7" state="visible" r:id="rId9"/>
    <sheet name="Caps &amp; Closures" sheetId="8" state="visible" r:id="rId10"/>
    <sheet name="BOPET Base Film" sheetId="9" state="visible" r:id="rId11"/>
    <sheet name="Laminate Converters" sheetId="10" state="visible" r:id="rId12"/>
    <sheet name="All Supplier Lines" sheetId="11" state="visible" r:id="rId13"/>
    <sheet name="Sourc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<sst xmlns="http://schemas.openxmlformats.org/spreadsheetml/2006/main" count="6737" uniqueCount="1461">
  <si>
    <t xml:space="preserve">FDC Limited — potential supplier &amp; backup-supplier database</t>
  </si>
  <si>
    <t xml:space="preserve">Compiled 16 October 2026 from public sources (company sites, catalogues, associations, exhibitor lists, annual reports, rating rationales, regulator pages, public trade-record summaries). No paid databases.</t>
  </si>
  <si>
    <t xml:space="preserve">What this is</t>
  </si>
  <si>
    <t xml:space="preserve">Purpose</t>
  </si>
  <si>
    <t xml:space="preserve">Long list of POTENTIAL suppliers and backup suppliers for FDC Limited across six materials. Every company is a potential supplier only: no qualification, audit, sample approval or existing FDC relationship is implied or claimed.</t>
  </si>
  <si>
    <t xml:space="preserve">Status</t>
  </si>
  <si>
    <t xml:space="preserve">Interim version. The public web-search and page-reading tools were rate-limited during compilation, so most records rest on search-result titles and URLs rather than pages read in full. Research continues; see 'Coverage gaps' below.</t>
  </si>
  <si>
    <t xml:space="preserve">How to use the workbook</t>
  </si>
  <si>
    <t xml:space="preserve">Companies</t>
  </si>
  <si>
    <t xml:space="preserve">One row per deduplicated legal entity, with every material category it supports. Group affiliates in other countries (e.g. Bericap India vs BERICAP GmbH) are kept as separate entities.</t>
  </si>
  <si>
    <t xml:space="preserve">Category sheets</t>
  </si>
  <si>
    <t xml:space="preserve">One row per company x category ('supplier line'), sorted by subcategory, then pharma/ORS relevance, region (India first: West, North, South, Central, East, Northeast, Pan-India, then International) and evidence confidence.</t>
  </si>
  <si>
    <t xml:space="preserve">All Supplier Lines</t>
  </si>
  <si>
    <t xml:space="preserve">Every supplier line in one filterable table; the Summary sheet counts from here.</t>
  </si>
  <si>
    <t xml:space="preserve">Sources</t>
  </si>
  <si>
    <t xml:space="preserve">One row per source URL per supplier line, hyperlinked.</t>
  </si>
  <si>
    <t xml:space="preserve">Category definitions and separations</t>
  </si>
  <si>
    <t xml:space="preserve">Dextrose / glucose</t>
  </si>
  <si>
    <t xml:space="preserve">Crystalline dextrose (anhydrous / monohydrate). Pharma grades (IP/BP/USP/EP, pyrogen-free, CEP/DMF) and food grades are separated by subcategory. Liquid glucose / glucose syrup, maltodextrin, fructose and sorbitol are recorded only in 'Related products kept separate'. Starch processors with no crystalline dextrose found are kept as upstream/backup with their own subcategory.</t>
  </si>
  <si>
    <t xml:space="preserve">Corn / maize</t>
  </si>
  <si>
    <t xml:space="preserve">Upstream input to starch and dextrose. Wet-millers, bulk traders/aggregators, FPCs, platforms and procurement agencies. Seed-only, sweet-corn, popcorn and snack businesses excluded. FDC is not assumed to buy maize directly.</t>
  </si>
  <si>
    <t xml:space="preserve">PET resin</t>
  </si>
  <si>
    <t xml:space="preserve">Bottle-grade and film-grade separated; virgin resin manufacture separated from recycling (food-grade bottle-to-bottle vs non-food) and from distribution. Food-contact status is recorded as 'claimed' unless a regulator source was read.</t>
  </si>
  <si>
    <t xml:space="preserve">PET bottles and preforms</t>
  </si>
  <si>
    <t xml:space="preserve">Subcategory states preforms only, bottles only, or both. HDPE/PP/LDPE lines are noted under 'Related products kept separate'. Sizes, neck finishes and plant locations are captured where a source gave them.</t>
  </si>
  <si>
    <t xml:space="preserve">Caps and closures</t>
  </si>
  <si>
    <t xml:space="preserve">Screw, tamper-evident, child-resistant, dispensing and ROPP closures, plus liners/induction seals. Caps are not assumed to be PET; materials are recorded only where a source stated them.</t>
  </si>
  <si>
    <t xml:space="preserve">BOPET base film vs laminate converters</t>
  </si>
  <si>
    <t xml:space="preserve">The Polyester/BOPET category is split: 'BOPET Base Film' holds base-film makers, metallizers/coaters and film distributors; 'Laminate Converters' holds printers/laminators making sachets, pouches and rollstock. BOPP, CPP, PE film, foil and cartons are noted separately where relevant.</t>
  </si>
  <si>
    <t xml:space="preserve">Column notes</t>
  </si>
  <si>
    <t xml:space="preserve">Legal name verified</t>
  </si>
  <si>
    <t xml:space="preserve">Yes = registered name seen on a company page, filing, rating rationale or registry page. No = trade name only; confirm on MCA (India) or the local registry before contracting.</t>
  </si>
  <si>
    <t xml:space="preserve">Evidence confidence</t>
  </si>
  <si>
    <t xml:space="preserve">High = company's own page read and confirms the product. Medium = company-domain result, annual report, rating rationale, association/exhibitor listing or reputable trade press. Low = third-party B2B listing or a single weak source.</t>
  </si>
  <si>
    <t xml:space="preserve">Priority match (keyword-derived)</t>
  </si>
  <si>
    <t xml:space="preserve">Automatic flag from the recorded applications / grades / notes text: 'Pharma / ORS', 'Nutrition / food / beverage' or 'Not stated in sources'. It is a sorting aid, not a qualification.</t>
  </si>
  <si>
    <t xml:space="preserve">Capacity, revenue, rating, ownership</t>
  </si>
  <si>
    <t xml:space="preserve">Filled only where a public source gave them; blank means not found, not zero.</t>
  </si>
  <si>
    <t xml:space="preserve">Caveats before RFQ</t>
  </si>
  <si>
    <t xml:space="preserve">Verification</t>
  </si>
  <si>
    <t xml:space="preserve">Before shortlisting: confirm grade certificates (CoA, pharmacopoeial compliance, DMF/CEP letters of access), food-contact declarations (EU 10/2011, US FDA, FSSAI/BIS), ISO 15378 / FSSC 22000 certificates, and plant audits. Low-confidence B2B entries may be traders rather than manufacturers.</t>
  </si>
  <si>
    <t xml:space="preserve">Public sources only: company sites, B2B storefronts, trade press, exhibitor listings, rating-agency pages, regulator pages and registry summaries. No paid databases were used.</t>
  </si>
  <si>
    <t xml:space="preserve">Coverage summary (counts recalculate from the 'All Supplier Lines' sheet)</t>
  </si>
  <si>
    <t xml:space="preserve">Segment</t>
  </si>
  <si>
    <t xml:space="preserve">India-West</t>
  </si>
  <si>
    <t xml:space="preserve">India-North</t>
  </si>
  <si>
    <t xml:space="preserve">India-South</t>
  </si>
  <si>
    <t xml:space="preserve">India-Central</t>
  </si>
  <si>
    <t xml:space="preserve">India-East</t>
  </si>
  <si>
    <t xml:space="preserve">India-Northeast</t>
  </si>
  <si>
    <t xml:space="preserve">India-Pan</t>
  </si>
  <si>
    <t xml:space="preserve">International</t>
  </si>
  <si>
    <t xml:space="preserve">Total</t>
  </si>
  <si>
    <t xml:space="preserve">Dextrose/Glucose</t>
  </si>
  <si>
    <t xml:space="preserve">Corn/Maize</t>
  </si>
  <si>
    <t xml:space="preserve">PET Resin</t>
  </si>
  <si>
    <t xml:space="preserve">PET Bottles &amp; Preforms</t>
  </si>
  <si>
    <t xml:space="preserve">Caps &amp; Closures</t>
  </si>
  <si>
    <t xml:space="preserve">BOPET base film</t>
  </si>
  <si>
    <t xml:space="preserve">Laminate converters</t>
  </si>
  <si>
    <t xml:space="preserve">Total supplier lines</t>
  </si>
  <si>
    <t xml:space="preserve">By evidence confidence / priority match</t>
  </si>
  <si>
    <t xml:space="preserve">High</t>
  </si>
  <si>
    <t xml:space="preserve">Medium</t>
  </si>
  <si>
    <t xml:space="preserve">Low</t>
  </si>
  <si>
    <t xml:space="preserve">Pharma / ORS</t>
  </si>
  <si>
    <t xml:space="preserve">Nutrition / food / beverage</t>
  </si>
  <si>
    <t xml:space="preserve">Not stated in sources</t>
  </si>
  <si>
    <t xml:space="preserve">Unique companies</t>
  </si>
  <si>
    <t xml:space="preserve">Companies in 2+ categories</t>
  </si>
  <si>
    <t xml:space="preserve">Source links (all lines)</t>
  </si>
  <si>
    <t xml:space="preserve">Note: 'Priority match' is a keyword flag from the recorded applications/grades/notes text, not a qualification. Maize rows are counted as upstream inputs.</t>
  </si>
  <si>
    <t xml:space="preserve">Company ID</t>
  </si>
  <si>
    <t xml:space="preserve">Company (legal / registered name)</t>
  </si>
  <si>
    <t xml:space="preserve">Trade / brand name</t>
  </si>
  <si>
    <t xml:space="preserve">Website</t>
  </si>
  <si>
    <t xml:space="preserve">HQ</t>
  </si>
  <si>
    <t xml:space="preserve">Country</t>
  </si>
  <si>
    <t xml:space="preserve">Region</t>
  </si>
  <si>
    <t xml:space="preserve">Material categories supported</t>
  </si>
  <si>
    <t xml:space="preserve">No. of categories</t>
  </si>
  <si>
    <t xml:space="preserve">Roles</t>
  </si>
  <si>
    <t xml:space="preserve">Ownership</t>
  </si>
  <si>
    <t xml:space="preserve">Capacity (published)</t>
  </si>
  <si>
    <t xml:space="preserve">Revenue (published)</t>
  </si>
  <si>
    <t xml:space="preserve">Credit rating</t>
  </si>
  <si>
    <t xml:space="preserve">Certifications (as stated)</t>
  </si>
  <si>
    <t xml:space="preserve">Best evidence confidence</t>
  </si>
  <si>
    <t xml:space="preserve">No. of sources</t>
  </si>
  <si>
    <t xml:space="preserve">C0001</t>
  </si>
  <si>
    <t xml:space="preserve">Ahimsa Industries Limited</t>
  </si>
  <si>
    <t xml:space="preserve">Ahimsa Industries</t>
  </si>
  <si>
    <t xml:space="preserve">No</t>
  </si>
  <si>
    <t xml:space="preserve">India</t>
  </si>
  <si>
    <t xml:space="preserve">Manufacturer (claims, unverified)</t>
  </si>
  <si>
    <t xml:space="preserve">https://www.dial4trade.com/ahimsa-industries/pet-preforms-pdid-744484.htm
https://petpla.net/wikipetia/index.php/Ahmisa_Industries_Limited</t>
  </si>
  <si>
    <t xml:space="preserve">C0002</t>
  </si>
  <si>
    <t xml:space="preserve">Amcor (India operations; registered entity not verified)</t>
  </si>
  <si>
    <t xml:space="preserve">Amcor India</t>
  </si>
  <si>
    <t xml:space="preserve">https://www.amcor.com</t>
  </si>
  <si>
    <t xml:space="preserve">Converter</t>
  </si>
  <si>
    <t xml:space="preserve">MNC subsidiary - Amcor group; acquired Phoenix Flexibles (Packaging Gateway headline)</t>
  </si>
  <si>
    <t xml:space="preserve">https://packagingsouthasia.com/packaging-production/amcor-india-opens-seventh-plant-in-india-at-bharuch
https://www.packaging-gateway.com/news/amcor-acquire-phoenix-flexibles/
https://esmmagazine.com/packaging-design/amcor-acquires-flexible-packaging-plant-in-india-247427
https://www.petnology.com/online/news-detail/amcor-announces-acquisition-of-scalable-flexible-packaging-plant-in-high-growth-indian-market</t>
  </si>
  <si>
    <t xml:space="preserve">C0003</t>
  </si>
  <si>
    <t xml:space="preserve">Apollo Healthcare Resources</t>
  </si>
  <si>
    <t xml:space="preserve">Singapore</t>
  </si>
  <si>
    <t xml:space="preserve">Distributor</t>
  </si>
  <si>
    <t xml:space="preserve">GMP, CEP, USDMF, JDMF, KDMF, WC, EDMF/ASMF, FDA, ISO 9001, BSE/TSE (as listed on PharmaOffer; not verified)</t>
  </si>
  <si>
    <t xml:space="preserve">https://pharmaoffer.com/api-excipient-supplier/dextrose-anhydrate/cep</t>
  </si>
  <si>
    <t xml:space="preserve">C0004</t>
  </si>
  <si>
    <t xml:space="preserve">Aptar Pharma India Private Limited</t>
  </si>
  <si>
    <t xml:space="preserve">Aptar Pharma</t>
  </si>
  <si>
    <t xml:space="preserve">https://aptar.com</t>
  </si>
  <si>
    <t xml:space="preserve">Mumbai, Maharashtra, India</t>
  </si>
  <si>
    <t xml:space="preserve">Manufacturer</t>
  </si>
  <si>
    <t xml:space="preserve">MNC subsidiary of AptarGroup Inc. (NYSE: ATR)</t>
  </si>
  <si>
    <t xml:space="preserve">https://m.indiamart.com/aptar/aboutus.html
https://www.indianpharmapost.com/news/aptar-expands-mumbai-operations-as-it-adds-local-production-of-pharma-inhalation-tech-22137
https://www.packaginginsights.com/news/aptar-pharma-expands-presence-in-india.html</t>
  </si>
  <si>
    <t xml:space="preserve">C0005</t>
  </si>
  <si>
    <t xml:space="preserve">AptarGroup, Inc.</t>
  </si>
  <si>
    <t xml:space="preserve">https://www.aptar.com</t>
  </si>
  <si>
    <t xml:space="preserve">Crystal Lake, Illinois, USA</t>
  </si>
  <si>
    <t xml:space="preserve">USA</t>
  </si>
  <si>
    <t xml:space="preserve">Listed (NYSE: ATR)</t>
  </si>
  <si>
    <t xml:space="preserve">https://www.aptar.com/pharmaceutical/technologies/child-resistant-senior-friendly/</t>
  </si>
  <si>
    <t xml:space="preserve">C0006</t>
  </si>
  <si>
    <t xml:space="preserve">Archer-Daniels-Midland Company</t>
  </si>
  <si>
    <t xml:space="preserve">ADM (CLINTOSE®)</t>
  </si>
  <si>
    <t xml:space="preserve">https://www.adm.com</t>
  </si>
  <si>
    <t xml:space="preserve">Chicago, Illinois, USA</t>
  </si>
  <si>
    <t xml:space="preserve">Listed – NYSE: ADM (general knowledge)</t>
  </si>
  <si>
    <t xml:space="preserve">https://www.tilleydistributionproducts.com/products/clintose-dextrose-a
https://tilleydistributionproducts.com/products/clintose-dextrose-vf
https://knowde.com/stores/adm/products/adm-dextrose-monohydrate</t>
  </si>
  <si>
    <t xml:space="preserve">C0007</t>
  </si>
  <si>
    <t xml:space="preserve">Arshine Pharmaceutical Co., Limited</t>
  </si>
  <si>
    <t xml:space="preserve">Arshine</t>
  </si>
  <si>
    <t xml:space="preserve">China</t>
  </si>
  <si>
    <t xml:space="preserve">Distributor; Exporter</t>
  </si>
  <si>
    <t xml:space="preserve">GMP, CEP, USDMF, EDMF/ASMF, FDA, BSE/TSE (as listed on PharmaOffer; not verified)</t>
  </si>
  <si>
    <t xml:space="preserve">C0008</t>
  </si>
  <si>
    <t xml:space="preserve">Avantor, Inc.</t>
  </si>
  <si>
    <t xml:space="preserve">VWR / J.T.Baker® / Macron Fine Chemicals™</t>
  </si>
  <si>
    <t xml:space="preserve">https://www.avantorsciences.com</t>
  </si>
  <si>
    <t xml:space="preserve">Pennsylvania, USA</t>
  </si>
  <si>
    <t xml:space="preserve">Supplier/repackager (J.T.Baker brand); Distributor (VWR)</t>
  </si>
  <si>
    <t xml:space="preserve">Listed – NYSE: AVTR (general knowledge)</t>
  </si>
  <si>
    <t xml:space="preserve">https://b2b-ca.vwr.com/store/product/en/4541456/dextrose-anhydrous-97-5-102-0-by-anhydrous-basis-usp-multi-compendial-j-t-baker
https://b2b-us.vwr.com/store/product/4541456/null
https://b2b-cn.vwr.com/store/product/8030185/null
https://www.avantorsciences.com/pt/en/search/USLP070318BIOP00008</t>
  </si>
  <si>
    <t xml:space="preserve">C0009</t>
  </si>
  <si>
    <t xml:space="preserve">BERICAP GmbH &amp; Co. KG</t>
  </si>
  <si>
    <t xml:space="preserve">Bericap</t>
  </si>
  <si>
    <t xml:space="preserve">https://bericap.com</t>
  </si>
  <si>
    <t xml:space="preserve">Budenheim, Germany</t>
  </si>
  <si>
    <t xml:space="preserve">Germany</t>
  </si>
  <si>
    <t xml:space="preserve">Private</t>
  </si>
  <si>
    <t xml:space="preserve">https://bericap.com/home-care-pharma-supplies/landingpage-otc-pharmaceuticals/
https://www.packaging-gateway.com/products/bericap-closure-solutions-home-care-pharma-supplies/
https://packagingeurope.com/bericap-presents-closure-solutions-at-packaging-innovations/5782.article</t>
  </si>
  <si>
    <t xml:space="preserve">C0010</t>
  </si>
  <si>
    <t xml:space="preserve">Bericap India Private Limited</t>
  </si>
  <si>
    <t xml:space="preserve">BERICAP</t>
  </si>
  <si>
    <t xml:space="preserve">Yes</t>
  </si>
  <si>
    <t xml:space="preserve">Pune, Maharashtra, India (RoC Pune per CIN)</t>
  </si>
  <si>
    <t xml:space="preserve">MNC subsidiary of BERICAP GmbH &amp; Co. KG (Germany); former JV with Essel Propack, Bericap acquired Essel's stake</t>
  </si>
  <si>
    <t xml:space="preserve">Trade press (Aug 2018) reported Bericap doubling its India plant; figure not captured</t>
  </si>
  <si>
    <t xml:space="preserve">https://www.InstaFinancials.com/company/bericap-india-private-limited/U25202PN2001PTC140929
https://www.plasticsnews.com/article/20180828/NEWS/180829902/bericap-doubling-india-plant/
https://www.plastemart.com/news-plastics-information/bericap-to-acquire-essel-propack´s-share-in-indian-jv/8930
https://bericap.com/product/hc-ev-28-27-pco-1881/</t>
  </si>
  <si>
    <t xml:space="preserve">C0011</t>
  </si>
  <si>
    <t xml:space="preserve">Berlin Packaging</t>
  </si>
  <si>
    <t xml:space="preserve">Berlin Packaging EU</t>
  </si>
  <si>
    <t xml:space="preserve">https://berlinpackaging.eu</t>
  </si>
  <si>
    <t xml:space="preserve">https://berlinpackaging.eu/en-be/markets/healthcare/packaging/child-resistant-closures</t>
  </si>
  <si>
    <t xml:space="preserve">C0012</t>
  </si>
  <si>
    <t xml:space="preserve">Berry Global, Inc.</t>
  </si>
  <si>
    <t xml:space="preserve">Berry Global Healthcare</t>
  </si>
  <si>
    <t xml:space="preserve">https://www.berryglobal.com</t>
  </si>
  <si>
    <t xml:space="preserve">Evansville, Indiana, USA</t>
  </si>
  <si>
    <t xml:space="preserve">Berry Global Group, Inc. (SEC registrant, CIK 1378992). Berry agreed a merger with Amcor in 2024-25; current ownership status not verified in this session.</t>
  </si>
  <si>
    <t xml:space="preserve">https://www.berryglobal.com/en/product/product-item/13191479
https://www.berryglobal.com/en/product/product-item/13567185
https://packagingeurope.com/news/berry-global-offers-range-of-pet-bottle-and-closure-solutions-for-child-safe-and-tamper-evident-medicine-packaging/9429.article
https://packagingscotland.com/2023/02/berry-group-healthcare-launches-comprehensive-new-child-resistant-range/
https://www.sec.gov/Archives/edgar/data/0001378992/000137899218000039/form10k.htm</t>
  </si>
  <si>
    <t xml:space="preserve">C0013</t>
  </si>
  <si>
    <t xml:space="preserve">Biesterfeld AG</t>
  </si>
  <si>
    <t xml:space="preserve">Biesterfeld</t>
  </si>
  <si>
    <t xml:space="preserve">https://www.biesterfeld.com</t>
  </si>
  <si>
    <t xml:space="preserve">Hamburg, Germany</t>
  </si>
  <si>
    <t xml:space="preserve">https://www.biesterfeld.com/en/gb/product/dextrose-glucose
https://www.biesterfeld.com/en/at/product/dextrose-glucose/</t>
  </si>
  <si>
    <t xml:space="preserve">C0014</t>
  </si>
  <si>
    <t xml:space="preserve">Cargill S.L.U.</t>
  </si>
  <si>
    <t xml:space="preserve">Cargill</t>
  </si>
  <si>
    <t xml:space="preserve">https://www.cargill.com/pharmaceutical/pharma-products/glucose-monohydrates-dextrose</t>
  </si>
  <si>
    <t xml:space="preserve">Spain</t>
  </si>
  <si>
    <t xml:space="preserve">Subsidiary of Cargill, Incorporated (USA, private)</t>
  </si>
  <si>
    <t xml:space="preserve">CEP (glucose monohydrate), FDA, CoA – as listed on PharmaOffer (third-party listing)</t>
  </si>
  <si>
    <t xml:space="preserve">https://pharmaoffer.com/api-excipient-supplier/excipients/glucose-monohydrate/cep
https://pharmaoffer.com/api-excipient-supplier/glucose-monohydrate/cep
https://www.cargill.com/pharmaceutical/pharma-products/glucose-monohydrates-dextrose
https://www.cargill.com/products/pharmaceutical/products/glucose-monohydrates/
https://pharmacompass.com/ndc-api/cargill-slu</t>
  </si>
  <si>
    <t xml:space="preserve">C0015</t>
  </si>
  <si>
    <t xml:space="preserve">Cargill, Incorporated</t>
  </si>
  <si>
    <t xml:space="preserve">Cargill (C*Dex)</t>
  </si>
  <si>
    <t xml:space="preserve">https://www.cargill.com</t>
  </si>
  <si>
    <t xml:space="preserve">Minnesota, USA</t>
  </si>
  <si>
    <t xml:space="preserve">Private (general knowledge)</t>
  </si>
  <si>
    <t xml:space="preserve">https://www.cargill.com/food-bev/emea/c-dex-dextrose
https://www.cargill.com/food-bev/ap/dextrose</t>
  </si>
  <si>
    <t xml:space="preserve">C0016</t>
  </si>
  <si>
    <t xml:space="preserve">Chemco Plastic Industries</t>
  </si>
  <si>
    <t xml:space="preserve">Chemco Group | Chemco</t>
  </si>
  <si>
    <t xml:space="preserve">https://www.chemcogroup.com</t>
  </si>
  <si>
    <t xml:space="preserve">PET Bottles &amp; Preforms; PET Resin</t>
  </si>
  <si>
    <t xml:space="preserve">Manufacturer; Recycler | Recycler</t>
  </si>
  <si>
    <t xml:space="preserve">Private group (Chemco Group)</t>
  </si>
  <si>
    <t xml:space="preserve">FSSAI approval for food-grade rPET (trade press headline 'Chemco gets FSSAI nod')</t>
  </si>
  <si>
    <t xml:space="preserve">https://www.packaginginsights.com/news/chemco-pet-bottle-recycling-india.html
https://www.plastemart.com/news-plastics-information/chemco-group-pioneering-circularity-with-in-house-rpet-production/75112
https://www.industrialautomationindia.in/news/chemco-group-food-grade-rpet-facility-sanand
https://themachinemaker.com/news/chemco-group-launches-%e2%82%b9125-crore-food-grade-rpet-bottle-recycling-plant-in-gujarat/
https://packagingsouthasia.com/type-of-article/industry-news/chemco-gets-fssai-nod/
https://m.indiamart.com/chemcoplastic
https://www.packaging-gateway.com/news/chemco-gujarat-rpet-recycling-plant/</t>
  </si>
  <si>
    <t xml:space="preserve">C0017</t>
  </si>
  <si>
    <t xml:space="preserve">Chr. Olesen</t>
  </si>
  <si>
    <t xml:space="preserve">Denmark</t>
  </si>
  <si>
    <t xml:space="preserve">FDA, USDMF, CoA listed; Eurofins GMP audit report Sep 2023 (PharmaOffer listing)</t>
  </si>
  <si>
    <t xml:space="preserve">https://pharmaoffer.com/api-excipient-supplier/excipients/glucose-monohydrate/cep
https://pharmaoffer.com/api-excipient-supplier/glucose-monohydrate/cep</t>
  </si>
  <si>
    <t xml:space="preserve">C0018</t>
  </si>
  <si>
    <t xml:space="preserve">Closure Systems International</t>
  </si>
  <si>
    <t xml:space="preserve">CSI</t>
  </si>
  <si>
    <t xml:space="preserve">https://www.packaginginsights.com/news/closure-systems-international-child-resistant-closure.html
https://www.silicon.co.uk/press-release/closure-systems-international-launches-defender-lok-crc-product-line
https://finance.yahoo.com/news/closure-systems-international-introduces-child-142709276.html</t>
  </si>
  <si>
    <t xml:space="preserve">C0019</t>
  </si>
  <si>
    <t xml:space="preserve">Comar</t>
  </si>
  <si>
    <t xml:space="preserve">https://www.healthcarepackaging.com/industries/pharmaceuticals/press-release/13287374/comar-childresistant-closures
https://app.qualifyze.com/directory/supplier/comar-71f904da
https://directory.designnews.com/comar-inc-comp225738.html</t>
  </si>
  <si>
    <t xml:space="preserve">C0020</t>
  </si>
  <si>
    <t xml:space="preserve">Constantia Flexibles (India operations; registered entity not verified)</t>
  </si>
  <si>
    <t xml:space="preserve">Constantia Flexibles</t>
  </si>
  <si>
    <t xml:space="preserve">https://cflex.com</t>
  </si>
  <si>
    <t xml:space="preserve">Ahmedabad, Gujarat, India</t>
  </si>
  <si>
    <t xml:space="preserve">MNC subsidiary - Constantia Flexibles group</t>
  </si>
  <si>
    <t xml:space="preserve">https://cflex.com/newsroom/constantia-flexibles-to-expand-production-capacity-in-india
https://www.printweek.in/News/constantia-flexibles-invest-rs-100-crore-ahmedabad-plant-28024
https://packagingsouthasia.com/packaging-production/constantia-flexibles-to-invest-inr-100-crore-in-a-new-india-plant/
https://www.dcatvci.org/?p=6358
https://www.packaging-gateway.com/news/constantia-flexibles-expand-production-capacity-indian-facility/
https://www.packaging-gateway.com/projects/parikhpackagingfacil/</t>
  </si>
  <si>
    <t xml:space="preserve">C0021</t>
  </si>
  <si>
    <t xml:space="preserve">Cosmos (Grupo Cosmos)</t>
  </si>
  <si>
    <t xml:space="preserve">Cosmos</t>
  </si>
  <si>
    <t xml:space="preserve">https://www.cosmos.com.mx</t>
  </si>
  <si>
    <t xml:space="preserve">Mexico</t>
  </si>
  <si>
    <t xml:space="preserve">https://www.cosmos.com.mx/producto/dextrosa-4bfp/dextrosa-anhidra-d7jd/dextrosa-anhidra-grado-farmaceutico-ddbs/</t>
  </si>
  <si>
    <t xml:space="preserve">C0022</t>
  </si>
  <si>
    <t xml:space="preserve">Crystal Polymers</t>
  </si>
  <si>
    <t xml:space="preserve">https://m.indiamart.com/crystal-poly/</t>
  </si>
  <si>
    <t xml:space="preserve">Manufacturer (claimed on B2B listing; not verified)</t>
  </si>
  <si>
    <t xml:space="preserve">https://m.indiamart.com/crystal-poly/profile.html</t>
  </si>
  <si>
    <t xml:space="preserve">C0023</t>
  </si>
  <si>
    <t xml:space="preserve">CSPC Shengxue Glucose Co., Ltd.</t>
  </si>
  <si>
    <r>
      <rPr>
        <sz val="10"/>
        <rFont val="Arial"/>
        <family val="0"/>
        <charset val="1"/>
      </rPr>
      <t xml:space="preserve">CSPC Shengxue (</t>
    </r>
    <r>
      <rPr>
        <sz val="10"/>
        <rFont val="Noto Sans CJK SC"/>
        <family val="2"/>
      </rPr>
      <t xml:space="preserve">石药圣雪</t>
    </r>
    <r>
      <rPr>
        <sz val="10"/>
        <rFont val="Arial"/>
        <family val="0"/>
        <charset val="1"/>
      </rPr>
      <t xml:space="preserve">)</t>
    </r>
  </si>
  <si>
    <t xml:space="preserve">Hebei, China</t>
  </si>
  <si>
    <t xml:space="preserve">CSPC group company (CSPC Pharmaceutical Group is HKEX-listed, 1093 – general knowledge; current shareholding not verified)</t>
  </si>
  <si>
    <t xml:space="preserve">US DMF (PharmaCompass listing)</t>
  </si>
  <si>
    <t xml:space="preserve">https://pharmacompass.com/us-drug-master-files-dmfs/anhydrous-dextrose
https://www.pharmacompass.com/about/cspc-shengxue-glucose
https://doc.irasia.com/listco/hk/cspc/annual/2018/screspress.pdf</t>
  </si>
  <si>
    <t xml:space="preserve">C0024</t>
  </si>
  <si>
    <t xml:space="preserve">Dalmia Polypro Industries Private Limited</t>
  </si>
  <si>
    <t xml:space="preserve">Dalmia Polypro</t>
  </si>
  <si>
    <t xml:space="preserve">Recycler</t>
  </si>
  <si>
    <t xml:space="preserve">Private; investee of Circulate Capital (2020); raising USD 30 mn from US DFC</t>
  </si>
  <si>
    <t xml:space="preserve">https://www.erema.com/en/public-relations-news/dalmia-polypro-to-install-erema-systems-for-pet-und-fuer-po-recycling--3233/
https://packagingsouthasia.com/application/dalmia-polypros-food-grade/
https://www.outlookbusiness.com/news/dalmia-polypro-to-raise-usd-30-mn-from-us-dfc-to-build-facility-in-maharashtra
https://www.circulatecapital.com/wp-content/uploads/2022/12/DalmiaPolyproIndustriesPL-x-CC_-Press-Release_2020-12-10-.pdf
https://www.packaging-gateway.com/news/slmg-dalmia-india-plant/</t>
  </si>
  <si>
    <t xml:space="preserve">C0025</t>
  </si>
  <si>
    <t xml:space="preserve">Drug Plastics &amp; Glass Company, Inc.</t>
  </si>
  <si>
    <t xml:space="preserve">Drug Plastics</t>
  </si>
  <si>
    <t xml:space="preserve">https://trademarks.justia.com/owners/drug-plastics-glass-company-inc-135913
https://www.pharmaceutical-tech.com/suppliers/drug-plastics-glass-co-inc
https://niemagazine.com/resources/sourcebook/6455/drug-plastics-glass-co-inc/</t>
  </si>
  <si>
    <t xml:space="preserve">C0026</t>
  </si>
  <si>
    <t xml:space="preserve">EICL Limited</t>
  </si>
  <si>
    <t xml:space="preserve">Bharat Starch Industries (starch division); 'Haathi' brand</t>
  </si>
  <si>
    <t xml:space="preserve">https://eicl.in</t>
  </si>
  <si>
    <t xml:space="preserve">Gurugram, Haryana, India (office listed on company site)</t>
  </si>
  <si>
    <t xml:space="preserve">Processor (starch wet-miller); Manufacturer</t>
  </si>
  <si>
    <t xml:space="preserve">Thapar Group lineage; Indian Starch &amp; Chemicals Ltd (1937), later renamed Bharat Starch Industries Ltd, became part of EICL in 2001 (company page)</t>
  </si>
  <si>
    <t xml:space="preserve">80,000 MTPA starch processing base, multi-feedstock (company page, dated (c)2015)</t>
  </si>
  <si>
    <t xml:space="preserve">https://eicl.in/?p=284
https://eicl.in/?p=572</t>
  </si>
  <si>
    <t xml:space="preserve">C0027</t>
  </si>
  <si>
    <t xml:space="preserve">Elchemy</t>
  </si>
  <si>
    <t xml:space="preserve">https://elchemy.com/</t>
  </si>
  <si>
    <t xml:space="preserve">Distributor; Marketplace/platform</t>
  </si>
  <si>
    <t xml:space="preserve">https://elchemy.com/product/dextrose-monohydrate-1509</t>
  </si>
  <si>
    <t xml:space="preserve">C0028</t>
  </si>
  <si>
    <t xml:space="preserve">Ester Industries Limited</t>
  </si>
  <si>
    <t xml:space="preserve">Ester</t>
  </si>
  <si>
    <t xml:space="preserve">https://www.esterindustries.com</t>
  </si>
  <si>
    <t xml:space="preserve">Listed (NSE: ESTER)</t>
  </si>
  <si>
    <t xml:space="preserve">CRISIL - rationales dated 13 May 2024 and 22 Jul 2025 (rating level not read this run)</t>
  </si>
  <si>
    <t xml:space="preserve">https://www.crisil.com/mnt/winshare/Ratings/RatingList/RatingDocs/EsterIndustriesLimited_July 22_ 2025_RR_374336.html
https://www.crisil.com/mnt/winshare/Ratings/RatingList/RatingDocs/EsterIndustriesLimited_May 13_ 2024_RR_343559.html</t>
  </si>
  <si>
    <t xml:space="preserve">C0029</t>
  </si>
  <si>
    <t xml:space="preserve">Ganesha Ecosphere Limited</t>
  </si>
  <si>
    <t xml:space="preserve">GO Rewise</t>
  </si>
  <si>
    <t xml:space="preserve">Recycler; Manufacturer</t>
  </si>
  <si>
    <t xml:space="preserve">Listed (NSE: GANECOS)</t>
  </si>
  <si>
    <t xml:space="preserve">https://nsearchives.nseindia.com/corporate/GANECOS_03092025232921_annual_report.pdf
https://recyclinginside.com/news/bottle-to-fibre-and-bottle-to-bottle-two-starlinger-pet-recycling-lines-for-indian-recycling-brand-go-rewise/
https://www.wasterecyclingmag.com/news/plastic-recycling/bottle-to-fibre-and-bottle-to-bottle-two-starlinger-pet-recycling-lines-for-indian-recycling-brand-go-rewise
https://www.innovationintextiles.com/trailblazing-pet-recycling-in-india</t>
  </si>
  <si>
    <t xml:space="preserve">C0030</t>
  </si>
  <si>
    <t xml:space="preserve">Garware Hi-Tech Films Limited</t>
  </si>
  <si>
    <t xml:space="preserve">Garware</t>
  </si>
  <si>
    <t xml:space="preserve">https://www.garwarehitechfilms.com</t>
  </si>
  <si>
    <t xml:space="preserve">Listed (NSE: GRWRHITECH)</t>
  </si>
  <si>
    <t xml:space="preserve">https://machinist.in/2025/09/garware-hi-tech-films-starts-commercial-production-of-new-ppf-line-at-waluj-facility/
https://www.garwarehitechfilms.com/wp-content/uploads/2023/03/Investors-Presentation-May-2021.pdf.pdf</t>
  </si>
  <si>
    <t xml:space="preserve">C0031</t>
  </si>
  <si>
    <t xml:space="preserve">Gerresheimer (India operations)</t>
  </si>
  <si>
    <t xml:space="preserve">Gerresheimer</t>
  </si>
  <si>
    <t xml:space="preserve">https://www.gerresheimer.com</t>
  </si>
  <si>
    <t xml:space="preserve">Düsseldorf, Germany (India operations)</t>
  </si>
  <si>
    <t xml:space="preserve">MNC; Gerresheimer AG (listed, Frankfurt)</t>
  </si>
  <si>
    <t xml:space="preserve">https://gerresheimer.com/en/company/newsroom/corporate-news/detail/cphi-india-gerresheimer-customers-value-child-resistant-pharmaceutical-packaging-1</t>
  </si>
  <si>
    <t xml:space="preserve">C0032</t>
  </si>
  <si>
    <t xml:space="preserve">Global Closure Systems</t>
  </si>
  <si>
    <t xml:space="preserve">GCS</t>
  </si>
  <si>
    <t xml:space="preserve">https://manufacturingchemist.com/global-closure-systems-gcs-launches-pharmasafe-child-resistant-closure-91334
https://www.healthcarepackaging.com/home/press-release/13290585/global-closure-systems-exhibits-at-pharmapack-europe-2016
https://pharmtech.com/view/global-closure-systems-exhibits-cphi-2015
https://www.plasteurope.com/news/GLOBAL_CLOSURE_SYSTEMS_t228478</t>
  </si>
  <si>
    <t xml:space="preserve">C0033</t>
  </si>
  <si>
    <t xml:space="preserve">Guala Closures S.p.A.</t>
  </si>
  <si>
    <t xml:space="preserve">Guala Closures</t>
  </si>
  <si>
    <t xml:space="preserve">https://www.gualaclosures.com</t>
  </si>
  <si>
    <t xml:space="preserve">Alessandria, Italy</t>
  </si>
  <si>
    <t xml:space="preserve">Italy</t>
  </si>
  <si>
    <t xml:space="preserve">https://www.gualaclosures.com/pharma
https://www.gualaclosures.com/sites/default/files/files/allegati/2025-10/PR%20-%20GUALA%20CLOSURES%20ENTERS%20INTO%20PHARMACEUTICAL%20CLOSURES%20MARKET%20_%20Final.pdf
https://www.gualaclosures.com/guala-closures-pharmapack-kwk-strengthening-its-presence-pharmaceutical-sector
https://www.wolftheiss.com/insights/wolf-theiss-advises-guala-closures-s-p-a-on-the-acquisition-of-austrian-packaging-company-kunststoffwerk-kremsmunster-gmbh/</t>
  </si>
  <si>
    <t xml:space="preserve">C0034</t>
  </si>
  <si>
    <t xml:space="preserve">Gujarat Ambuja Exports Limited</t>
  </si>
  <si>
    <t xml:space="preserve">GAEL / Ambuja Group</t>
  </si>
  <si>
    <t xml:space="preserve">https://www.ambujagroup.com/</t>
  </si>
  <si>
    <t xml:space="preserve">Corn/Maize; Dextrose/Glucose</t>
  </si>
  <si>
    <t xml:space="preserve">Manufacturer; Processor (maize wet-miller) | Processor (maize wet-miller); Manufacturer</t>
  </si>
  <si>
    <t xml:space="preserve">Listed (NSE: GAEL; BSE) | Listed (NSE: GAEL; BSE: 524226)</t>
  </si>
  <si>
    <t xml:space="preserve">New 1,200 TPD maize processing unit commenced commercial production Mar-2025 (NSE filing title); group total not verified this session</t>
  </si>
  <si>
    <t xml:space="preserve">CARE press releases Jan-2025, Aug-2025, Sep-2025, Dec-2025 and CRISIL rationales Apr-2023 exist; ratings not read (fetch rate-limited)</t>
  </si>
  <si>
    <t xml:space="preserve">Certificates page exists on company site (contents not read)</t>
  </si>
  <si>
    <t xml:space="preserve">https://www.ambujagroup.com/
https://www.ambujagroup.com/starch-derivatives
https://www.ambujagroup.com/dextrose-anhydrous-powder
https://www.ambujagroup.com/dextrose-monohydrate-powder
https://www.wrightresearch.in/stocks/stock/GAEL/
https://nsearchives.nseindia.com/corporate/GAEL_26032025100331_Commercial_Production_1200TPD_Maize.pdf
https://www.careratings.com/upload/CompanyFiles/PR/202512121257_Gujarat_Ambuja_Exports_Limited.pdf</t>
  </si>
  <si>
    <t xml:space="preserve">C0035</t>
  </si>
  <si>
    <t xml:space="preserve">Gulshan Polyols Limited</t>
  </si>
  <si>
    <t xml:space="preserve">Gulshan Polyols</t>
  </si>
  <si>
    <t xml:space="preserve">Listed (BSE: 532457)</t>
  </si>
  <si>
    <t xml:space="preserve">300 TPD corn grinding (UP); planned 1,000 TPD maize grinding (Bihar); ethanol 560 KLPD+ total (Assam 500 KLPD added June 2024)</t>
  </si>
  <si>
    <t xml:space="preserve">https://www.indiainfoline.com/company/gulshan-polyols-ltd/summary
https://www.gurufocus.com/stock/BOM:532457/transcripts/8616616
https://www.plindia.com/stocks/gulshan-polyols-ltd/</t>
  </si>
  <si>
    <t xml:space="preserve">C0036</t>
  </si>
  <si>
    <t xml:space="preserve">Harsh Impex</t>
  </si>
  <si>
    <t xml:space="preserve">Odisha, India</t>
  </si>
  <si>
    <t xml:space="preserve">Claims manufacturer (B2B listing only; plant not verified)</t>
  </si>
  <si>
    <t xml:space="preserve">https://www.globallinker.com/products/trusted-pet-preform-manufacturers-in-odisha-harsh-impex-best-price-8457231
https://www.globallinker.com/seller/harsh-impex
https://yourstory.com/companies/harsh-impex</t>
  </si>
  <si>
    <t xml:space="preserve">C0037</t>
  </si>
  <si>
    <t xml:space="preserve">Hawkins, Inc.</t>
  </si>
  <si>
    <t xml:space="preserve">Hawkins</t>
  </si>
  <si>
    <t xml:space="preserve">https://www.hawkinsinc.com</t>
  </si>
  <si>
    <t xml:space="preserve">Distributor (page titled 'Dextrose Manufacturer, Supplier &amp; Distributor'; own dextrose production not verified)</t>
  </si>
  <si>
    <t xml:space="preserve">Listed – NASDAQ: HWKN (general knowledge)</t>
  </si>
  <si>
    <t xml:space="preserve">https://www.hawkinsinc.com/groups/pharmaceutical/dextrose/</t>
  </si>
  <si>
    <t xml:space="preserve">C0038</t>
  </si>
  <si>
    <t xml:space="preserve">Hitesh Plastics</t>
  </si>
  <si>
    <t xml:space="preserve">India (location not verified this session)</t>
  </si>
  <si>
    <t xml:space="preserve">India-West; India-Pan</t>
  </si>
  <si>
    <t xml:space="preserve">Caps &amp; Closures; PET Bottles &amp; Preforms</t>
  </si>
  <si>
    <t xml:space="preserve">Acquired by Manjushree Technopack (Advent International-backed), 2022 | Acquired by Manjushree Technopack Ltd (Advent International-backed), Aug 2022 per petpla.net/PrintWeek</t>
  </si>
  <si>
    <t xml:space="preserve">https://news.ventureintelligence.com/ma/manjushree-technopack-to-acquire-caps-maker-hitesh-plastics
https://www.printweek.in/News/manjushree-technopack-backed-by-advent-to-acquire-hitesh-plastics-56469
https://www.petnology.com/online/news-detail/manjushree-technopack-acquires-hitesh-plastics
https://www.printweek.in/news/manjushree-technopack-backed-by-advent-to-acquire-hitesh-plastics-56469
https://petpla.net/2022/08/08/manjushree-technopack-acquires-hitesh-plastics/
https://packagingsouthasia.com/type-of-article/manjushree-technopack-plant/</t>
  </si>
  <si>
    <t xml:space="preserve">C0039</t>
  </si>
  <si>
    <t xml:space="preserve">Huhtamaki India Limited</t>
  </si>
  <si>
    <t xml:space="preserve">Huhtamaki India (formerly Huhtamaki PPL)</t>
  </si>
  <si>
    <t xml:space="preserve">https://www.huhtamaki.com/en/flexible-packaging/about-us/india/</t>
  </si>
  <si>
    <t xml:space="preserve">Thane, Maharashtra, India</t>
  </si>
  <si>
    <t xml:space="preserve">Listed in India (NSE: HUHTAMAKI per Morningstar listing URL); part of the Huhtamaki group (company India page on huhtamaki.com)</t>
  </si>
  <si>
    <t xml:space="preserve">https://www.huhtamaki.com/en/flexible-packaging/about-us/india/
https://www.plastemart.com/news-plastics-information/huhtamaki-india-limited-a-leading-flexible-packaging-converter-for-fmcg-and-food-brands/75108
https://en.wikipedia.org/wiki/Huhtamaki_PPL
https://dfd.dr.morningstar.com.au/investments/security/NSE/HUHTAMAKI
https://production.huhtamaki.com/en-in/flexible-packaging</t>
  </si>
  <si>
    <t xml:space="preserve">C0040</t>
  </si>
  <si>
    <t xml:space="preserve">Hänseler AG</t>
  </si>
  <si>
    <t xml:space="preserve">Hänseler</t>
  </si>
  <si>
    <t xml:space="preserve">Switzerland</t>
  </si>
  <si>
    <t xml:space="preserve">Distributor; CDMO (per listing)</t>
  </si>
  <si>
    <t xml:space="preserve">GMP, FDA, MSDS, CoA (PharmaOffer listing)</t>
  </si>
  <si>
    <t xml:space="preserve">https://pharmaoffer.com/api-excipient-supplier/glucose-anhydrous</t>
  </si>
  <si>
    <t xml:space="preserve">C0041</t>
  </si>
  <si>
    <t xml:space="preserve">Ingredion Incorporated</t>
  </si>
  <si>
    <t xml:space="preserve">Ingredion (CERELOSE®); Ingredion Pharma Solutions</t>
  </si>
  <si>
    <t xml:space="preserve">https://www.ingredion.com</t>
  </si>
  <si>
    <t xml:space="preserve">Westchester, Illinois, USA</t>
  </si>
  <si>
    <t xml:space="preserve">Listed – NYSE: INGR (general knowledge)</t>
  </si>
  <si>
    <t xml:space="preserve">https://ingredion.com/content/dam/ingredion/technical-documents/na/CERELOSE%20Anhydrous%20Dextrose%20024010%20Technical%20Specification.pdf
https://pharmacompass.com/us-drug-master-files-dmfs/anhydrous-dextrose
https://pharmaoffer.com/api-excipient-supplier/company/ingredion</t>
  </si>
  <si>
    <t xml:space="preserve">C0042</t>
  </si>
  <si>
    <t xml:space="preserve">Innopac Packagings</t>
  </si>
  <si>
    <t xml:space="preserve">Petainer</t>
  </si>
  <si>
    <t xml:space="preserve">https://packagingsouthasia.com/zarchive/petainer-innopac-packagings-plant-at-bhiwandi/</t>
  </si>
  <si>
    <t xml:space="preserve">C0043</t>
  </si>
  <si>
    <t xml:space="preserve">IVL Dhunseri Petrochem Industries Private Limited</t>
  </si>
  <si>
    <t xml:space="preserve">IVL Dhunseri</t>
  </si>
  <si>
    <t xml:space="preserve">https://www.indoramaventures.com/en/worldwide/2001/ivl-dhunseri-petrochem-industries-private-limited</t>
  </si>
  <si>
    <t xml:space="preserve">JV of Indorama Ventures PCL (Thailand) and Dhunseri group; the legal name appears on Indorama's worldwide-sites page</t>
  </si>
  <si>
    <t xml:space="preserve">https://www.indoramaventures.com/en/worldwide/2001/ivl-dhunseri-petrochem-industries-private-limited
https://www.textileworld.com/textile-world/fiber-world/2016/02/indorama-ventures-and-dhunseri-form-joint-venture-in-india/
https://chemengonline.com/indorama-to-form-pet-manufacturing-joint-venture-in-india</t>
  </si>
  <si>
    <t xml:space="preserve">C0044</t>
  </si>
  <si>
    <t xml:space="preserve">Jay Somnath Starch Product</t>
  </si>
  <si>
    <t xml:space="preserve">https://www.jaysomnathstarch.in/</t>
  </si>
  <si>
    <t xml:space="preserve">Rajkot, Gujarat, India</t>
  </si>
  <si>
    <t xml:space="preserve">Manufacturer (claimed on own site; crystallisation plant not verified)</t>
  </si>
  <si>
    <t xml:space="preserve">Private firm (GSTIN 24AASFJ8076F1ZX; PAN pattern indicates a partnership firm)</t>
  </si>
  <si>
    <t xml:space="preserve">https://www.jaysomnathstarch.in/dextrose-anhydrous-powder.htm
https://www.jaysomnathstarch.in/dextrose-monohydrate-powder.htm
https://piceapp.com/gst-number-search/jay-somnath-starch-product-24aasfj8076f1zx/</t>
  </si>
  <si>
    <t xml:space="preserve">C0045</t>
  </si>
  <si>
    <t xml:space="preserve">Jindal Poly Films Limited</t>
  </si>
  <si>
    <t xml:space="preserve">Jindal Poly Films</t>
  </si>
  <si>
    <t xml:space="preserve">https://www.jindalpoly.com</t>
  </si>
  <si>
    <t xml:space="preserve">Listed (NSE: JINDALPOLY)</t>
  </si>
  <si>
    <t xml:space="preserve">CRISIL - rationales dated 30 May 2025, 18 May 2026, 14 Aug 2026 (rating level not read this run)</t>
  </si>
  <si>
    <t xml:space="preserve">https://www.crisil.com/mnt/winshare/Ratings/RatingList/RatingDocs/JindalPolyFilmsLimited_August 14_ 2026_RR_401765.html
https://www.crisil.com/mnt/winshare/Ratings/RatingList/RatingDocs/JindalPolyFilmsLimited_May 18_ 2026_RR_395327.html</t>
  </si>
  <si>
    <t xml:space="preserve">C0046</t>
  </si>
  <si>
    <t xml:space="preserve">Kunststoffwerk Kremsmünster GmbH</t>
  </si>
  <si>
    <t xml:space="preserve">KWK</t>
  </si>
  <si>
    <t xml:space="preserve">https://www.kwk.at</t>
  </si>
  <si>
    <t xml:space="preserve">Kremsmünster, Austria</t>
  </si>
  <si>
    <t xml:space="preserve">Austria</t>
  </si>
  <si>
    <t xml:space="preserve">Acquired by Guala Closures S.p.A. (2025)</t>
  </si>
  <si>
    <t xml:space="preserve">c. EUR 18 million over 12 months (per Il Giornale d'Italia report on acquisition, 2025)</t>
  </si>
  <si>
    <t xml:space="preserve">https://www.wolftheiss.com/insights/wolf-theiss-advises-guala-closures-s-p-a-on-the-acquisition-of-austrian-packaging-company-kunststoffwerk-kremsmunster-gmbh/
https://www.ilgiornaleditalia.it/news/mondo-imprese/739210/guala-closures-acquisisce-kwk-leader-del-settore-del-packaging-farmaceutico-con-ricavi-di-18-milioni-di-euro-in-12-mesi.html
https://plasticker.de/Plastics_News_47298_Guala_Closures_Packaging_Specialist_Acquires_KWK_Kunststoffwerk_Kremsmnster__Entry_into_the_Pharmaceutical_Closure_Market
https://www.kwk.at/</t>
  </si>
  <si>
    <t xml:space="preserve">C0047</t>
  </si>
  <si>
    <t xml:space="preserve">Lab Alley (Laboratory Alley LLC)</t>
  </si>
  <si>
    <t xml:space="preserve">Lab Alley</t>
  </si>
  <si>
    <t xml:space="preserve">https://www.laballey.com</t>
  </si>
  <si>
    <t xml:space="preserve">Texas, USA</t>
  </si>
  <si>
    <t xml:space="preserve">Distributor; Repackager</t>
  </si>
  <si>
    <t xml:space="preserve">https://www.laballey.com/products/dextrose-monohydrate-fcc-grade-powder
https://media.laballey.com/docbuilder/dextrose-monohydrate-fcc-grade-powder-country-of-origin-document-652e9c01db492.pdf</t>
  </si>
  <si>
    <t xml:space="preserve">C0048</t>
  </si>
  <si>
    <t xml:space="preserve">Manjushree Technopack Limited</t>
  </si>
  <si>
    <t xml:space="preserve">Manjushree</t>
  </si>
  <si>
    <t xml:space="preserve">https://www.manjushreeindia.com</t>
  </si>
  <si>
    <t xml:space="preserve">Bengaluru, Karnataka, India</t>
  </si>
  <si>
    <t xml:space="preserve">Private; backed by Advent International; acquired Hitesh Plastics (caps maker) 2022 and Oricon Enterprises' plastics packaging business | Private, unlisted (shares trade on unlisted platforms); Advent International exited per an Altius Investech blog title. The current owner was not verified this session. | Private; Advent International-backed (per other team file citing Advent case page; not re-verified here). An IndiaMART storefront at the URL slug 'manjushree-technopark-limited' is titled 'Alternicq Limited - Manufacturer of Plastic Container &amp; Pet Bottles from Bengaluru', and an IndiaInfoline 'alternicq-ltd' summary surfaced in a Manjushree search, suggesting a possible change of name to Alternicq Limited - NOT verified. | Private; backed by Advent International (per PrintWeek headline 'Manjushree Technopack backed by Advent to acquire Hitesh Plastics' and Advent International case page); acquired Hitesh Plastics (2022)</t>
  </si>
  <si>
    <t xml:space="preserve">https://manjushreeindia.com/wp-content/uploads/2024/10/Caps-Closures.pdf
https://www.manjushreeindia.com/wp-content/uploads/2024/03/Manjushree-Corporate-Presentation.pdf
https://news.ventureintelligence.com/ma/manjushree-technopack-to-acquire-caps-maker-hitesh-plastics
https://petpla.net/2022/08/08/manjushree-technopack-acquires-hitesh-plastics/
https://manjushreeindia.com/wp-content/uploads/2024/10/Preforms.pdf
https://www.manjushreeindia.com/wp-content/uploads/2023/07/MTL-Corporate-Presentation.pdf
https://www.printweek.in/news/india-packaging-leader-manjushree-technopack-acquires-delhi-varahi-22700
https://petpla.net/?p=3756
https://packagingsouthasia.com/packaging-production/manjushree-technopack-commissions-new-plant-at-silvassa/
https://www.indiamart.com/manjushree-technopack-ltd/aboutus.html
https://altiusinvestech.com/blog/advent-internationals-3x-bagger-a-strategic-exit-from-manjushree-in-5-years/
https://en.wikipedia.org/wiki/Manjushree_Technopack
https://www.indiamart.com/manjushree-techno-pack-limited/profile.html
https://www.indiamart.com/manjushree-technopark-limited/
https://www.tradeindia.com/Seller-2683598-MANJUSHREE-TECHNOPACK-LTD-/
https://www.tradeindia.com/products/pet-bisleri-bottles-6089274.html
https://mysuruinfrahub.com/manjushree-technopack-limited-to-setup-a-plastic-packaging-plant-at-chamarajanagar/
https://www.indiainfoline.com/company/alternicq-ltd/summary
https://www.adventinternational.com/ideas/the-endless-life-cycle-of-plastic-manjushree-technopack/
https://sbnri.com/p/pre-ipo/Manjushree-Technopack-Ltd.-jxbE69gV</t>
  </si>
  <si>
    <t xml:space="preserve">C0049</t>
  </si>
  <si>
    <t xml:space="preserve">Mark Pack</t>
  </si>
  <si>
    <t xml:space="preserve">Markpack | Mark Pack</t>
  </si>
  <si>
    <t xml:space="preserve">https://m.indiamart.com/markpack</t>
  </si>
  <si>
    <t xml:space="preserve">Manufacturer (claimed on B2B listing; not verified) | Trader (claims manufacturer)</t>
  </si>
  <si>
    <t xml:space="preserve">https://m.indiamart.com/mark-pack/pet-bottles.html
https://m.indiamart.com/markpack/pet-plastic-bottles.html
https://m.indiamart.com/markpack/pet-jars.html
https://m.indiamart.com/mark-pack/plastic-bottle.html
https://m.indiamart.com/markpack</t>
  </si>
  <si>
    <t xml:space="preserve">C0050</t>
  </si>
  <si>
    <t xml:space="preserve">Megapet Containers Pvt Ltd</t>
  </si>
  <si>
    <t xml:space="preserve">Megapet Containers</t>
  </si>
  <si>
    <t xml:space="preserve">Pardi, Vapi, Gujarat, India</t>
  </si>
  <si>
    <t xml:space="preserve">https://www.indianyellowpages.com/vapi/megapet-containers-pvt-ltd-9175302</t>
  </si>
  <si>
    <t xml:space="preserve">C0051</t>
  </si>
  <si>
    <t xml:space="preserve">Monarch Chemicals Ltd</t>
  </si>
  <si>
    <t xml:space="preserve">Monarch Chemicals</t>
  </si>
  <si>
    <t xml:space="preserve">https://www.monarchchemicals.co.uk</t>
  </si>
  <si>
    <t xml:space="preserve">United Kingdom</t>
  </si>
  <si>
    <t xml:space="preserve">https://www.monarchchemicals.co.uk/Chemicals/A-to-Z/665-/Dextrose-Monohydrate</t>
  </si>
  <si>
    <t xml:space="preserve">C0052</t>
  </si>
  <si>
    <t xml:space="preserve">National Agricultural Cooperative Marketing Federation of India Ltd</t>
  </si>
  <si>
    <t xml:space="preserve">NAFED</t>
  </si>
  <si>
    <t xml:space="preserve">https://www.nafed-india.com</t>
  </si>
  <si>
    <t xml:space="preserve">New Delhi, India</t>
  </si>
  <si>
    <t xml:space="preserve">Cooperative/Government agency; Aggregator</t>
  </si>
  <si>
    <t xml:space="preserve">National-level cooperative under Govt of India Ministry of Cooperation | National cooperative under the Multi-State Co-operative Societies Act</t>
  </si>
  <si>
    <t xml:space="preserve">Agreed to procure 1 lakh tonnes of maize from Telangana (CropGPT report)</t>
  </si>
  <si>
    <t xml:space="preserve">https://iamrenew.com/green-energy/nafed-nccf-can-sell-maize-to-ethanol-makers-at-base-rate/amp
https://advancedbiofuelsusa.info/govt-to-buy-maize-at-msp-raise-output-to-meet-biofuel-needs
https://www.qcintel.com/biofuels/article/indian-goverment-issues-sop-for-corn-procurement-for-ethanol-output-21584.html
https://cropgpt.ai/nafed-agrees-to-procure-1-lakh-tonnes-of-maize-from-telangana-sets-up-procurement-centres-and-assures-minimum-support-price-for-farmers
https://www.indiancooperative.com/co-op-news-snippets/price-fall-triggers-msp-push-by-nafed-nccf/</t>
  </si>
  <si>
    <t xml:space="preserve">C0053</t>
  </si>
  <si>
    <t xml:space="preserve">National Cooperative Consumers' Federation of India Ltd</t>
  </si>
  <si>
    <t xml:space="preserve">NCCF</t>
  </si>
  <si>
    <t xml:space="preserve">https://nccf-india.com</t>
  </si>
  <si>
    <t xml:space="preserve">National-level cooperative (Govt of India) | National cooperative</t>
  </si>
  <si>
    <t xml:space="preserve">https://iamrenew.com/green-energy/nafed-nccf-can-sell-maize-to-ethanol-makers-at-base-rate/amp
https://krishijagran.com/news/maize-to-be-procured-by-govt-at-msp-increased-production-targeted-to-meet-biofuel-requirements/?amp=1
https://www.indiancooperative.com/co-op-news-snippets/price-fall-triggers-msp-push-by-nafed-nccf/
https://www.angelone.in/news/economy/centre-extends-maize-msp-procurement-deadline-for-kharif-2025-26-till-april-30</t>
  </si>
  <si>
    <t xml:space="preserve">C0054</t>
  </si>
  <si>
    <t xml:space="preserve">Nishant Mouldings Private Limited</t>
  </si>
  <si>
    <t xml:space="preserve">https://m.indiamart.com/nishantmouldings</t>
  </si>
  <si>
    <t xml:space="preserve">Manufacturer (per company name/listings; plant not verified)</t>
  </si>
  <si>
    <t xml:space="preserve">https://m.indiamart.com/nishantmouldings
https://www.exporthub.com/nishant-mouldings/
https://www.dial4trade.com/nishant-moulding/pet-preforms-pdid-6788384.htm</t>
  </si>
  <si>
    <t xml:space="preserve">C0055</t>
  </si>
  <si>
    <t xml:space="preserve">Nordmann, Rassmann GmbH</t>
  </si>
  <si>
    <t xml:space="preserve">Nordmann</t>
  </si>
  <si>
    <t xml:space="preserve">https://www.nordmann.global</t>
  </si>
  <si>
    <t xml:space="preserve">https://www.nordmann.global/en/products/dextrose</t>
  </si>
  <si>
    <t xml:space="preserve">C0056</t>
  </si>
  <si>
    <t xml:space="preserve">Origin Pharma Packaging</t>
  </si>
  <si>
    <t xml:space="preserve">Origin</t>
  </si>
  <si>
    <t xml:space="preserve">Supplier (manufacturing status not verified)</t>
  </si>
  <si>
    <t xml:space="preserve">https://www.pharmaceutical-technology.com/contractors/packaging/origin/pressreleases/pressorigin-pharma-packaging-child-safety
https://pharmaceutical-technology.com/contractors/cleanroom/origin/pressreleases/child-resistant-packaging
https://www.pharmaceutical-technology.com/contractors/packaging/origin/</t>
  </si>
  <si>
    <t xml:space="preserve">C0057</t>
  </si>
  <si>
    <t xml:space="preserve">Parle Agro</t>
  </si>
  <si>
    <t xml:space="preserve">https://parleagro.com/</t>
  </si>
  <si>
    <t xml:space="preserve">Manufacturer (in-house preforms; third-party sale implied by the site page, not verified)</t>
  </si>
  <si>
    <t xml:space="preserve">https://parleagro.com/preforms</t>
  </si>
  <si>
    <t xml:space="preserve">C0058</t>
  </si>
  <si>
    <t xml:space="preserve">PCIPL (pciplindia.com)</t>
  </si>
  <si>
    <t xml:space="preserve">PCIPL</t>
  </si>
  <si>
    <t xml:space="preserve">https://pciplindia.com/</t>
  </si>
  <si>
    <t xml:space="preserve">India (not verified)</t>
  </si>
  <si>
    <t xml:space="preserve">Distributor (presumed; not verified)</t>
  </si>
  <si>
    <t xml:space="preserve">https://pciplindia.com/product-detail/dextrose-monohydrate</t>
  </si>
  <si>
    <t xml:space="preserve">C0059</t>
  </si>
  <si>
    <t xml:space="preserve">Pearl Polymers Ltd</t>
  </si>
  <si>
    <t xml:space="preserve">Pearl Pet</t>
  </si>
  <si>
    <t xml:space="preserve">New Delhi, Delhi, India</t>
  </si>
  <si>
    <t xml:space="preserve">Manufacturer (per trade-press title; not verified this session)</t>
  </si>
  <si>
    <t xml:space="preserve">Listed on BSE and NSE (ticker PEARLPOLY); founded 1971 (per Kotak Securities stock page title) | Listed (BSE/NSE: PEARLPOLY); founded 1971 (per Kotak Securities page title)</t>
  </si>
  <si>
    <t xml:space="preserve">https://packagingsouthasia.com/packaging-production/pet-pioneer-pearl/
https://www.roic.ai/quote/PEARLPOLY.BO
https://www.screener.in/company/PEARLPOLY
https://kotaksecurities.com/stocks/bse-pearl-polymers-ltd
https://www.tickertape.in/stocks/pearl-polymers-PRLP</t>
  </si>
  <si>
    <t xml:space="preserve">C0060</t>
  </si>
  <si>
    <t xml:space="preserve">https://www.petainer.com</t>
  </si>
  <si>
    <t xml:space="preserve">https://www.petainer.com/pet-plastic-preforms/bottle-preform-28mm-pco</t>
  </si>
  <si>
    <t xml:space="preserve">C0061</t>
  </si>
  <si>
    <t xml:space="preserve">Polyplex Corporation Limited</t>
  </si>
  <si>
    <t xml:space="preserve">Polyplex</t>
  </si>
  <si>
    <t xml:space="preserve">https://www.polyplex.com</t>
  </si>
  <si>
    <t xml:space="preserve">Listed (NSE: POLYPLEX; BSE: 524051)</t>
  </si>
  <si>
    <t xml:space="preserve">https://www.angelone.in/news/stocks-share-market/polyplex-corporation-expands-its-horizons-with-new-bopet-film-plant-in-india
https://filingreader.com/news-wire/mumbai/2025-09-15/polyplex-highlights-global-expansion-sustainable-growth-strategy
https://www.screener.in/company/524051</t>
  </si>
  <si>
    <t xml:space="preserve">C0062</t>
  </si>
  <si>
    <t xml:space="preserve">Pondicherry Polymers</t>
  </si>
  <si>
    <t xml:space="preserve">Puducherry, India (inferred from company name; not verified)</t>
  </si>
  <si>
    <t xml:space="preserve">https://www.dial4trade.com/pondicherry-polymers/pet-performs-pdid-1228244.htm</t>
  </si>
  <si>
    <t xml:space="preserve">C0063</t>
  </si>
  <si>
    <t xml:space="preserve">Pranav Plastics</t>
  </si>
  <si>
    <t xml:space="preserve">https://www.pranavplasticsindia.com</t>
  </si>
  <si>
    <t xml:space="preserve">Nashik, Maharashtra, India</t>
  </si>
  <si>
    <t xml:space="preserve">Trader; Retailer</t>
  </si>
  <si>
    <t xml:space="preserve">https://www.pranavplasticsindia.com/pharma-pet-bottles.html</t>
  </si>
  <si>
    <t xml:space="preserve">C0064</t>
  </si>
  <si>
    <t xml:space="preserve">PT Esco Chemicals Mitra Utama</t>
  </si>
  <si>
    <t xml:space="preserve">Esco Chemicals</t>
  </si>
  <si>
    <t xml:space="preserve">Indonesia</t>
  </si>
  <si>
    <t xml:space="preserve">Distributor; Importer</t>
  </si>
  <si>
    <t xml:space="preserve">https://en.indotrading.com/escochemicalsmitrautama/dextrose-monohydrate-ex-p470664.aspx</t>
  </si>
  <si>
    <t xml:space="preserve">C0065</t>
  </si>
  <si>
    <t xml:space="preserve">Quadra (Quadra Chemicals)</t>
  </si>
  <si>
    <t xml:space="preserve">Quadra</t>
  </si>
  <si>
    <t xml:space="preserve">https://www.quadragroup.store</t>
  </si>
  <si>
    <t xml:space="preserve">Canada</t>
  </si>
  <si>
    <t xml:space="preserve">https://www.quadragroup.store/products/meritose-200-pharma-p15325</t>
  </si>
  <si>
    <t xml:space="preserve">C0066</t>
  </si>
  <si>
    <t xml:space="preserve">Radcom Packaging Private Limited</t>
  </si>
  <si>
    <t xml:space="preserve">Radcom Packaging</t>
  </si>
  <si>
    <t xml:space="preserve">https://pharmasource.global/directory/radcom-packaging-pvt-ltd/
https://www.cphi-online.com/company/radcom-packaging-pvt-ltd/
https://m.indiamart.com/radcompackaging/hdpe-pet-containers-4-nutraceuticals-supplements.html
https://m.indiamart.com/radcompackaging/pet-cream-jars-and-pp-cream-jars.html</t>
  </si>
  <si>
    <t xml:space="preserve">C0067</t>
  </si>
  <si>
    <t xml:space="preserve">Raja Tradelinks Pvt Ltd</t>
  </si>
  <si>
    <t xml:space="preserve">RTL</t>
  </si>
  <si>
    <t xml:space="preserve">India (city not verified this session)</t>
  </si>
  <si>
    <t xml:space="preserve">Supplier (role not verified)</t>
  </si>
  <si>
    <t xml:space="preserve">https://www.pharmaceutical-tech.com/products/raja-tradelinks-pvt-ltd-rtl/aluminium-ropp-caps</t>
  </si>
  <si>
    <t xml:space="preserve">C0068</t>
  </si>
  <si>
    <t xml:space="preserve">Ramshree Chemicals</t>
  </si>
  <si>
    <t xml:space="preserve">https://www.ramshreechemicals.in/</t>
  </si>
  <si>
    <t xml:space="preserve">India (city not verified)</t>
  </si>
  <si>
    <t xml:space="preserve">Trader (claims manufacturer); Supplier; Exporter</t>
  </si>
  <si>
    <t xml:space="preserve">https://www.ramshreechemicals.in/dextrose-monohydrate-3400354.html</t>
  </si>
  <si>
    <t xml:space="preserve">C0069</t>
  </si>
  <si>
    <t xml:space="preserve">Regaal Resources Limited</t>
  </si>
  <si>
    <t xml:space="preserve">Regaal | Regaal Resources</t>
  </si>
  <si>
    <t xml:space="preserve">https://regaalresources.com/</t>
  </si>
  <si>
    <t xml:space="preserve">India (corporate office not verified) | Kolkata, West Bengal, India (corporate office)</t>
  </si>
  <si>
    <t xml:space="preserve">Processor (maize wet-miller); Manufacturer | Processor (starch wet-miller); Manufacturer</t>
  </si>
  <si>
    <t xml:space="preserve">Listed after IPO (IPO coverage by Samco/JK BFSL) | Incorporated 2012, converted to public company 2022; IPO opened 12 Aug 2025 (Business Today); listed</t>
  </si>
  <si>
    <t xml:space="preserve">1,650 TPD maize crushing after doubling (Rs 389 crore Kishanganj expansion; trade-press headlines) | 750 TPD maize crushing installed; doubled to 1,650 TPD at Kishanganj (Business Upturn / TipRanks headlines)</t>
  </si>
  <si>
    <t xml:space="preserve">Full-year revenue ~Rs 1,134 crore (Trade Brains headline; fiscal year not stated in headline)</t>
  </si>
  <si>
    <t xml:space="preserve">https://regaalresources.com/
https://agrospectrumindia.com/news/5/34078/regaal-resources-doubles-capacity-to-1650-tpd-commissions-new-lg-and-mpd-facility-in-bihar-with-rs-389-cr-investment.html
https://tradebrains.in/regaal-resources-doubles-crushing-capacity-to-1650-tpd-full-year-revenue-touches-1134-crore/
https://www.outlookbusiness.com/news/regaal-resources-doubles-maize-processing-capacity-with-389-cr-expansion-at-kishanganj-bihar
https://www.samco.in/ipo/regaal-resources-ipo
https://x.com/LnprCapital/status/1957687364702335124?lang=en
https://www.businessupturn.com/business/corporates/regaal-resources-doubles-maize-processing-capacity-to-1650-tpd-in-kishanganj
https://www.tipranks.com/news/company-announcements/regaal-resources-doubles-maize-capacity-becomes-eastern-indias-largest-specialty-producer
https://chemindigest.com/regaal-resources-commissions-lg-and-mpd-facility-in-bihar/
https://www.businesstoday.in/amp/markets/ipo-corner/story/regaal-resources-ipo-opens-today-check-reviews-ratings-latest-gmp-more-488973-2025-08-12</t>
  </si>
  <si>
    <t xml:space="preserve">C0070</t>
  </si>
  <si>
    <t xml:space="preserve">Reliance Industries Limited</t>
  </si>
  <si>
    <t xml:space="preserve">Relpet</t>
  </si>
  <si>
    <t xml:space="preserve">https://www.ril.com</t>
  </si>
  <si>
    <t xml:space="preserve">Manufacturer; Recycler</t>
  </si>
  <si>
    <t xml:space="preserve">Listed (NSE: RELIANCE)</t>
  </si>
  <si>
    <t xml:space="preserve">https://rilstaticasset.akamaized.net/sites/default/files/2022-12/py_rpt_g5801_spec.pdf
https://plastics.ulprospector.com/plastics/en/generics/37/materials/4048
https://www.specialchem.com/plastics/supplier/reliance-industries/relpet
https://Knowde.com/stores/reliance-industries-ltd/products/relpet-g5801
https://www.indianchemicalnews.com/petro-chemical/lite/reliance-to-double-its-pet-recycling-capacity-to-5-bn-bottles-9971
https://petpla.net/2023/02/01/pet-raw-material-and-recyclate-from-india/</t>
  </si>
  <si>
    <t xml:space="preserve">C0071</t>
  </si>
  <si>
    <t xml:space="preserve">Riddhi Siddhi Gluco Biols Limited</t>
  </si>
  <si>
    <t xml:space="preserve">RSGBL</t>
  </si>
  <si>
    <t xml:space="preserve">https://riddhisiddhi.co.in/</t>
  </si>
  <si>
    <t xml:space="preserve">Processor (maize wet-miller)</t>
  </si>
  <si>
    <t xml:space="preserve">Listed (BSE); acquired Cargill India's corn wet-milling division</t>
  </si>
  <si>
    <t xml:space="preserve">300,000 MT corn milling facility (Karnataka) per trade-press headline</t>
  </si>
  <si>
    <t xml:space="preserve">https://riddhisiddhi.co.in/pdf/other-events-and-disclosure/press-release-19-01-2026.pdf
https://www.world-grain.com/articles/22710-rsgbl-acquires-cargill-corn-mill-in-india
https://insights.munich-startup.de/news/feed/riddhi-siddhi-gluco-biols-acquires-cargill-s-300-000-mt-corn-milling-facility-in-karnataka
https://themachinemaker.com/news/rsgbl-completes-acquisition-of-corn-wet-milling-facility-from-cargill-in-karnataka/</t>
  </si>
  <si>
    <t xml:space="preserve">C0072</t>
  </si>
  <si>
    <t xml:space="preserve">Roquette Frères</t>
  </si>
  <si>
    <t xml:space="preserve">Roquette</t>
  </si>
  <si>
    <t xml:space="preserve">https://www.roquette.com</t>
  </si>
  <si>
    <t xml:space="preserve">Lestrem, Hauts-de-France, France</t>
  </si>
  <si>
    <t xml:space="preserve">France</t>
  </si>
  <si>
    <t xml:space="preserve">Private, family-owned group (general knowledge; not verified from a fetched page)</t>
  </si>
  <si>
    <t xml:space="preserve">US DMF (anhydrous dextrose) per PharmaCompass DMF listing; EDQM GMP page exists on PharmaCompass (not read)</t>
  </si>
  <si>
    <t xml:space="preserve">https://www.roquette.com/health-pharma/injectable-dialysis-specialty-apis/lycadex-pf-dextrose-monohydrate
https://www.roquette.com/pharma-and-nutraceuticals-pyrogen-free-dextrose-monohydrate
https://fr.roquette.com/-/media/roquette-sharepoint-libraries/marcomonline---pharma/roquette-pharma-injectable-dialysis-specialty-api-brochure.pdf
https://manufacturingchemist.com/roquette-completes-injectable-carbohydrate-plant-at-lestrem-63951
https://pharmacompass.com/us-drug-master-files-dmfs/anhydrous-dextrose</t>
  </si>
  <si>
    <t xml:space="preserve">C0073</t>
  </si>
  <si>
    <t xml:space="preserve">Roquette India Private Limited</t>
  </si>
  <si>
    <t xml:space="preserve">Roquette India (formerly Roquette Riddhi Siddhi) | Roquette India</t>
  </si>
  <si>
    <t xml:space="preserve">https://www.roquette.com/</t>
  </si>
  <si>
    <t xml:space="preserve">Manufacturer (starch derivatives in India); MNC subsidiary; Importer/marketer of group pharma excipients (inferred – verify) | Processor (maize wet-miller); Manufacturer</t>
  </si>
  <si>
    <t xml:space="preserve">Subsidiary of Roquette Frères (France); Roquette took over the Riddhi Siddhi Gluco Biols corn wet-milling business (strategic partner 2005-06, business demerged 2009-10, Roquette asset acquisition reported 2012) | MNC subsidiary (Roquette Freres, France)</t>
  </si>
  <si>
    <t xml:space="preserve">https://www.roquette.com/pharma-lycadex-pf-dextrose-monohydrate-pyrogen-free
https://www.roquette.com/health-pharma/biologics-product-finder/lycadex-biopharma-dextrose-monohydrate-low-endotoxin
https://www.roquette.com/health-pharma/pharmaceutical-product-catalog/glucidex-21-dehydrated-glucose-syrup-india
https://www.roquette.com/press-releases/product-capabilities-viramgam-india
https://www.roquette.com/press-releases/roquette-celebrates-10-years-operation-pantnagar
https://www.indianchemicalnews.com/general/lite/roquette-inaugurates-spray-tower-at-pantnagar-site-in-india-11507
https://www.potatopro.com/node/8764
https://www.riddhisiddhi.co.in/about.html
https://www.roquette.com/media-center/press-center/2019-08-28-roquette-india-viramgam-s-unit-inauguration
https://www.foodnavigator.com/Article/2012/06/01/Roquette-Indian-starch-JV-to-drive-market-traction</t>
  </si>
  <si>
    <t xml:space="preserve">C0074</t>
  </si>
  <si>
    <t xml:space="preserve">rPET InWaste, s.r.o.</t>
  </si>
  <si>
    <t xml:space="preserve">rPET InWaste</t>
  </si>
  <si>
    <t xml:space="preserve">Czech Republic</t>
  </si>
  <si>
    <t xml:space="preserve">https://circulareconomy.europa.eu/platform/en/good-practices/rpet-inwaste-sro-enabling-pet-bottle-bottle-recycling</t>
  </si>
  <si>
    <t xml:space="preserve">C0075</t>
  </si>
  <si>
    <t xml:space="preserve">Sayaji Industries Limited</t>
  </si>
  <si>
    <t xml:space="preserve">Maize Products (Sayaji Group) | Sayaji</t>
  </si>
  <si>
    <t xml:space="preserve">https://www.maizeproducts.com/</t>
  </si>
  <si>
    <t xml:space="preserve">Listed (BSE; ISIN INE327G01032); flagship of Sayaji Group, est. 1941 | Listed (BSE)</t>
  </si>
  <si>
    <t xml:space="preserve">750 MTPD maize grinding (Fi Global exhibitor profile)</t>
  </si>
  <si>
    <t xml:space="preserve">CARE press releases Oct-2018 and Nov-2019 exist; current rating not read</t>
  </si>
  <si>
    <t xml:space="preserve">https://www.maizeproducts.com/industry-solutions/dextrose-monohydrate/
https://exhibitors.figlobal.com/net/company/26/90/94/result269094-565.html
https://upstox.com/stocks/sayaji-industries-limited/INE327G01032
https://www.careratings.com/upload/CompanyFiles/PR/Sayaji Industries Limited-03-11-2019.pdf
https://www.kotaksecurities.com/stocks/bse-sayaji-industries-ltd</t>
  </si>
  <si>
    <t xml:space="preserve">C0076</t>
  </si>
  <si>
    <t xml:space="preserve">Shandong Tianli Pharmaceutical Co., Ltd.</t>
  </si>
  <si>
    <t xml:space="preserve">Tianli Pharmaceutical</t>
  </si>
  <si>
    <t xml:space="preserve">Shandong, China</t>
  </si>
  <si>
    <t xml:space="preserve">https://pharmacompass.com/us-drug-master-files-dmfs/anhydrous-dextrose
https://www.pharmacompass.com/dmf-37618
https://www.pharmacompass.com/dmf-35737</t>
  </si>
  <si>
    <t xml:space="preserve">C0077</t>
  </si>
  <si>
    <t xml:space="preserve">Shanghai Unitebiz</t>
  </si>
  <si>
    <t xml:space="preserve">Shanghai, China</t>
  </si>
  <si>
    <t xml:space="preserve">Exporter; Trader (manufacturing not verified)</t>
  </si>
  <si>
    <t xml:space="preserve">https://b2usa.com/hotsite/shanghaiunitebiz/dextrose-monohydrate-food-grade-high-qua</t>
  </si>
  <si>
    <t xml:space="preserve">C0078</t>
  </si>
  <si>
    <t xml:space="preserve">Sheth PET Polymers Private Limited</t>
  </si>
  <si>
    <t xml:space="preserve">Sheth PET</t>
  </si>
  <si>
    <t xml:space="preserve">https://www.shethpet.in</t>
  </si>
  <si>
    <t xml:space="preserve">Manufacturer (claimed by company site title)</t>
  </si>
  <si>
    <t xml:space="preserve">https://www.shethpet.in/pharma-pet-bottle.html
https://th.globallinker.com/network/rubber-plastics-polymers/sme/sheth-pet-polymers-private-limited-241415</t>
  </si>
  <si>
    <t xml:space="preserve">C0079</t>
  </si>
  <si>
    <t xml:space="preserve">Sibi Polymers</t>
  </si>
  <si>
    <t xml:space="preserve">https://m.indiamart.com/sibi-polymers/</t>
  </si>
  <si>
    <t xml:space="preserve">C0080</t>
  </si>
  <si>
    <t xml:space="preserve">Silgan Dispensing Systems</t>
  </si>
  <si>
    <t xml:space="preserve">Silgan Dispensing (Silgan Holdings)</t>
  </si>
  <si>
    <t xml:space="preserve">https://silgandispensing.com</t>
  </si>
  <si>
    <t xml:space="preserve">Silgan Holdings Inc. (listed, NASDAQ: SLGN) - parent relationship from general knowledge, not verified this session</t>
  </si>
  <si>
    <t xml:space="preserve">https://silgandispensing.com/wp-content/uploads/2026/07/260504-Dispensing-Closures-Catalogue-HR-1.pdf
https://silgandispensing.com/wp-content/uploads/2026/01/Dispensing-Closures-Catalogue-06.25-HR.pdf
https://silgandispensing.com/wp-content/uploads/2018/01/20SDS0755_Closures-Product-Guide_r3.pdf</t>
  </si>
  <si>
    <t xml:space="preserve">C0081</t>
  </si>
  <si>
    <t xml:space="preserve">Sonapet Industries</t>
  </si>
  <si>
    <t xml:space="preserve">https://m.indiamart.com/sonapetindustries</t>
  </si>
  <si>
    <t xml:space="preserve">https://m.indiamart.com/sonapetindustries
https://m.indiamart.com/sonapetindustries/about-us.html
https://m.indiamart.com/sonapetindustries/plastic-container.html</t>
  </si>
  <si>
    <t xml:space="preserve">C0082</t>
  </si>
  <si>
    <t xml:space="preserve">SRF Limited</t>
  </si>
  <si>
    <t xml:space="preserve">SRF Packaging Films</t>
  </si>
  <si>
    <t xml:space="preserve">https://www.srf.com</t>
  </si>
  <si>
    <t xml:space="preserve">Listed (NSE: SRF)</t>
  </si>
  <si>
    <t xml:space="preserve">https://disclosures.ifc.org/project-detail/ESRS/37933/srf-india-bopet
https://www.packaging-gateway.com/news/srf-plans-to-invest-58m-in-bopet-production-facility-in-indore-india-090216-4805002/
https://www.plasteurope.com/news/detail.asp?id=246416</t>
  </si>
  <si>
    <t xml:space="preserve">C0083</t>
  </si>
  <si>
    <t xml:space="preserve">SRF Limited - Hungary BOPET operation</t>
  </si>
  <si>
    <t xml:space="preserve">SRF Hungary</t>
  </si>
  <si>
    <t xml:space="preserve">Hungary</t>
  </si>
  <si>
    <t xml:space="preserve">Subsidiary of SRF Limited (India)</t>
  </si>
  <si>
    <t xml:space="preserve">https://www.plasteurope.com/news/detail.asp?id=246416</t>
  </si>
  <si>
    <t xml:space="preserve">C0084</t>
  </si>
  <si>
    <t xml:space="preserve">SRF Limited - Thailand BOPET operation</t>
  </si>
  <si>
    <t xml:space="preserve">SRF Thailand</t>
  </si>
  <si>
    <t xml:space="preserve">Thailand</t>
  </si>
  <si>
    <t xml:space="preserve">C0085</t>
  </si>
  <si>
    <t xml:space="preserve">Srichakra Polyplast</t>
  </si>
  <si>
    <t xml:space="preserve">Srichakra</t>
  </si>
  <si>
    <t xml:space="preserve">Private; investee of Circulate Capital (press release Mar 2022)</t>
  </si>
  <si>
    <t xml:space="preserve">Trade press (petpla.net, Apr 2025) reports bottle-grade rPET capacity tripled; figure not read</t>
  </si>
  <si>
    <t xml:space="preserve">https://www.indianpharmapost.com/sustainability/srichakra-receives-european-food-safety-approval-for-its-food-grade-recycled-rpet-11622
https://www.petnology.com/magazine/article/srichakra-becomes-the-first-indian-recycling-company-to-receive-a-positive-safety-assessment-from-european-food-safety-authority
https://petpla.net/2025/04/28/srichakra-triples-bottle-grade-rpet-production-capacities/
https://www.foodanddrinktechnology.com/news/48696/recycled-pet-for-indias-first-100-rpet-beverage-bottle-produced-by-srichakra-polyplast/
https://petpla.net/2021/11/08/bottle-to-bottle-recycling-line-at-srichakra-polyplast-in-india/
https://www.circulatecapital.com/wp-content/uploads/2022/11/Srichakra_Press-Release_March-9-2022.docx.pdf</t>
  </si>
  <si>
    <t xml:space="preserve">C0086</t>
  </si>
  <si>
    <t xml:space="preserve">Tekni-Plex, Inc.</t>
  </si>
  <si>
    <t xml:space="preserve">Tri-Seal (a Tekni-Plex company)</t>
  </si>
  <si>
    <t xml:space="preserve">https://tekni-plex.com</t>
  </si>
  <si>
    <t xml:space="preserve">https://tekni-plex.com/en/articles/tri-seal-luxe-seal-2-pc-embossed-induction-seal-closer-liners
https://www.healthcarepackaging.com/home/press-release/13289282/tekniplex-induction-seals
https://www.oemmagazine.org/home/product/15693541/triseal-a-tekniplex-co-triseal-embossed-induction-seal-closure-liners
https://tekni-plex.com/en/articles/tri-seal-unveils-latest-pouch-lidding-structures-for-medical-device-and-pharma-applications-at-mdm-west</t>
  </si>
  <si>
    <t xml:space="preserve">C0087</t>
  </si>
  <si>
    <t xml:space="preserve">Telangana State Co-operative Marketing Federation Limited</t>
  </si>
  <si>
    <t xml:space="preserve">TS MARKFED</t>
  </si>
  <si>
    <t xml:space="preserve">Hyderabad, Telangana, India</t>
  </si>
  <si>
    <t xml:space="preserve">https://www.indiancooperative.com/co-op-news-snippets/maize-procurement-telangana-markfed-coordinating-with-nafed/
https://www.siasat.com/telangana-govt-opens-maize-procurement-centres-after-brs-pressure-harish-rao-3438607/
https://www.siasat.com/telanganas-maize-crisis-exposes-gaps-in-procurement-storage-systems-3468406/</t>
  </si>
  <si>
    <t xml:space="preserve">C0088</t>
  </si>
  <si>
    <t xml:space="preserve">Tereos</t>
  </si>
  <si>
    <t xml:space="preserve">Tereos (Meritose)</t>
  </si>
  <si>
    <t xml:space="preserve">https://www.tereos.com</t>
  </si>
  <si>
    <t xml:space="preserve">CEP, GMP, CoA – as listed on PharmaOffer (third-party listing)</t>
  </si>
  <si>
    <t xml:space="preserve">https://pharmaoffer.com/api-excipient-supplier/excipients/glucose-monohydrate/cep
https://pharmaoffer.com/api-excipient-supplier/company/tereos
https://www.quadragroup.store/products/meritose-200-pharma-p15325</t>
  </si>
  <si>
    <t xml:space="preserve">C0089</t>
  </si>
  <si>
    <t xml:space="preserve">The Sukhjit Starch and Chemicals Limited</t>
  </si>
  <si>
    <t xml:space="preserve">Sukhjit Group | Sukhjit Starch (SSCL) | Sukhjit Starch; Sukhjit Biocorn (Nashik/Yeola project)</t>
  </si>
  <si>
    <t xml:space="preserve">https://www.sukhjitgroup.com/</t>
  </si>
  <si>
    <t xml:space="preserve">Phagwara, Punjab, India | Phagwara, Punjab, India (general knowledge)</t>
  </si>
  <si>
    <t xml:space="preserve">Processor (maize wet-miller); Manufacturer | Processor (starch wet-miller); Manufacturer | Processor (maize wet-miller); Manufacturer</t>
  </si>
  <si>
    <t xml:space="preserve">Listed (NSE: SUKHJITS; BSE) | Promoted by the Sardana family and associates; subsidiary Sukhjit Mega Food Park &amp; Infra Ltd; publicly traded (stock pages on IIFL/Arihant Capital) | Listed (BSE)</t>
  </si>
  <si>
    <t xml:space="preserve">1,600 TPD maize grinding (CRISIL rationale, 9 Aug 2024) | Rs 500 crore MoU for Nashik maize unit (Indian Chemical News); Rs 760 crore Yeola MIDC agro-processing plant (Free Press Journal)</t>
  </si>
  <si>
    <t xml:space="preserve">Operating income Rs 1,370.86 crore FY2024 (FY2023: Rs 1,435.25 crore); PAT Rs 55.62 crore FY2024 (CRISIL)</t>
  </si>
  <si>
    <t xml:space="preserve">CRISIL rating rationales dated 12 Jun 2026, 8 Aug 2025, 9 Aug 2024 and others exist; CARE rationales 2019/2022 (rating values not read) | CRISIL A+/Stable (long term) and CRISIL A1 (short term), reaffirmed, 9 Aug 2024 | CRISIL rationales Feb-2023 and Jul-2023 exist; not read</t>
  </si>
  <si>
    <t xml:space="preserve">https://www.crisil.com/mnt/winshare/Ratings/RatingList/RatingDocs/TheSukhjitStarchandChemicalsLimited_June 12_ 2026_RR_394602.html
https://www.careratings.com/upload/CompanyFiles/PR/20092022074241_The_Sukhjit_Starch_&amp;_Chemicals_Limited.pdf
https://filingreader.com/news-wire/mumbai/2026-05-06/sukhjit-starch-to-shut-phagwara-unit-for-maintenance
https://www.morningstar.com.au/investments/security/NSE/SUKHJITS
https://www.crisil.com/mnt/winshare/Ratings/RatingList/RatingDocs/TheSukhjitStarchandChemicalsLimited_August 09_ 2024_RR_350173.html
https://www.crisil.com/mnt/winshare/Ratings/RatingList/RatingDocs/TheSukhjitStarchandChemicalsLimited_July 18_ 2024_RR_347845.html
https://www.careratings.com/upload/CompanyFiles/PR/The Sukhjit Starch &amp; Chemicals Limited-10-09-2017.pdf
https://www.indiainfoline.com/company/sukhjit-starch-chemicals-ltd/summary
https://www.indianchemicalnews.com/general/sukhjit-starch-signs-rs-500-crore-mou-with-maharashtra-for-nashik-maize-unit-31805
https://www.freepressjournal.in/pune/nashik-sukhjit-biocorn-to-invest-760-crore-in-yeola-midc-agro-processing-plant
https://www.crisil.com/mnt/winshare/Ratings/RatingList/RatingDocs/TheSukhjitStarchandChemicalsLimited_July 20, 2023_RR_323242.html</t>
  </si>
  <si>
    <t xml:space="preserve">C0090</t>
  </si>
  <si>
    <t xml:space="preserve">Tianjia (tianjiachem.com)</t>
  </si>
  <si>
    <t xml:space="preserve">Tianjia</t>
  </si>
  <si>
    <t xml:space="preserve">https://www.tianjiachem.com</t>
  </si>
  <si>
    <t xml:space="preserve">https://www.tianjiachem.com/dextrose-anhydrous-product/</t>
  </si>
  <si>
    <t xml:space="preserve">C0091</t>
  </si>
  <si>
    <t xml:space="preserve">Tilley Distribution</t>
  </si>
  <si>
    <t xml:space="preserve">Tilley</t>
  </si>
  <si>
    <t xml:space="preserve">https://www.tilleydistributionproducts.com</t>
  </si>
  <si>
    <t xml:space="preserve">https://www.tilleydistributionproducts.com/products/clintose-dextrose-a
https://tilleydistributionproducts.com/products/clintose-dextrose-vf</t>
  </si>
  <si>
    <t xml:space="preserve">C0092</t>
  </si>
  <si>
    <t xml:space="preserve">Tirupati Starch &amp; Chemicals Limited</t>
  </si>
  <si>
    <t xml:space="preserve">Tirupati Starch</t>
  </si>
  <si>
    <t xml:space="preserve">Indore, Madhya Pradesh, India (not re-verified)</t>
  </si>
  <si>
    <t xml:space="preserve">Processor (maize wet-miller); Manufacturer</t>
  </si>
  <si>
    <t xml:space="preserve">Listed (BSE: 524582)</t>
  </si>
  <si>
    <t xml:space="preserve">https://musaffa.com/stock/524582.BO/
https://www.indiainfoline.com/company/tirupati-starch-chemicals-ltd-management/summary/3872</t>
  </si>
  <si>
    <t xml:space="preserve">C0093</t>
  </si>
  <si>
    <t xml:space="preserve">UFlex Limited</t>
  </si>
  <si>
    <t xml:space="preserve">UFlex</t>
  </si>
  <si>
    <t xml:space="preserve">https://www.uflexltd.com</t>
  </si>
  <si>
    <t xml:space="preserve">Noida, Uttar Pradesh, India</t>
  </si>
  <si>
    <t xml:space="preserve">Manufacturer; Converter</t>
  </si>
  <si>
    <t xml:space="preserve">Listed company (BSE corporate filings seen)</t>
  </si>
  <si>
    <t xml:space="preserve">https://www.printweek.in/news/uflex-highlights-its-pharma-packaging-solutions-at-cphi-2019-42519
https://packagingsouthasia.com/events/uflex-launches-stick-pack-machine-at-cphi-and-p-mec-2019/
https://www.plastemart.com/news-plastics-information/UFlex-Limited-A-Global-Leader-in-Flexible-Packaging-Films/75103
https://www.packaginginsights.com/profile-directory/uflex-limited.html</t>
  </si>
  <si>
    <t xml:space="preserve">C0094</t>
  </si>
  <si>
    <t xml:space="preserve">Universal Starch-Chem Allied Limited</t>
  </si>
  <si>
    <t xml:space="preserve">Universal Starch</t>
  </si>
  <si>
    <t xml:space="preserve">https://www.universalstarch.com/</t>
  </si>
  <si>
    <t xml:space="preserve">Dondaicha, Shindkheda, Dhule, Maharashtra, India | Maharashtra, India</t>
  </si>
  <si>
    <t xml:space="preserve">Manufacturer; Processor (corn wet-miller); Exporter | Processor (maize wet-miller); Manufacturer</t>
  </si>
  <si>
    <t xml:space="preserve">Listed company (Bloomberg ticker UNIVSTAR:IN seen in search results) | Listed (BSE: 524408); founded 1973</t>
  </si>
  <si>
    <t xml:space="preserve">FDA, GMP, ISO 9001 (icons on company's CPHI Online profile – claimed by company)</t>
  </si>
  <si>
    <t xml:space="preserve">https://www.cphi-online.com/company/universal-starch-chem-allied-ltd/
https://www.cphi-online.com/product/dextrose-monohydrate-3/
https://www.bloomberg.com/profile/company/UNIVSTAR:IN
https://m.indiamart.com/universalstarch/corn-starch.html
https://www.sharescart.com/company/univer-starch-chem/</t>
  </si>
  <si>
    <t xml:space="preserve">C0095</t>
  </si>
  <si>
    <t xml:space="preserve">Weifang Shengtai Medicine Co., Ltd.</t>
  </si>
  <si>
    <t xml:space="preserve">Weifang Shengtai / Shengtai Pharmaceutical</t>
  </si>
  <si>
    <t xml:space="preserve">Weifang, Shandong, China</t>
  </si>
  <si>
    <t xml:space="preserve">Operating company of Shengtai Pharmaceutical, Inc. (formerly US OTC: SGTI) per Yahoo Finance profile/BioSpace releases; current ownership not verified</t>
  </si>
  <si>
    <t xml:space="preserve">CEP, FDA, CoA (PharmaOffer listing); Eurofins GMP audit report dated Sep 2024 shown on PharmaOffer; US DMF (PharmaCompass)</t>
  </si>
  <si>
    <t xml:space="preserve">https://pharmaoffer.com/api-excipient-supplier/excipients/glucose-monohydrate/cep
https://pharmacompass.com/us-drug-master-files-dmfs/anhydrous-dextrose
https://www.cphi-online.com/company/weifang-shengtai-medicine-co-ltd/
https://www.cphi-online.com/product/dextrose-anhydrous-3/
https://www.cphi-online.com/product/dextrose-monohydrate-4/
https://www.biospace.com/shengtai-pharmaceutical-inc-sets-up-new-sales-departments-to-accommodate-anticipated-ramp-in-operations-of-new-glucose-facility
https://hk.finance.yahoo.com/quote/SGTI/profile</t>
  </si>
  <si>
    <t xml:space="preserve">C0096</t>
  </si>
  <si>
    <t xml:space="preserve">Xenex Labs</t>
  </si>
  <si>
    <t xml:space="preserve">https://www.xenexlabs.com</t>
  </si>
  <si>
    <t xml:space="preserve">https://www.xenexlabs.com/products/dextrose-anhydrous-powder-usp-25kg</t>
  </si>
  <si>
    <t xml:space="preserve">C0097</t>
  </si>
  <si>
    <t xml:space="preserve">Xiwang Pharmaceutical Co., Ltd.</t>
  </si>
  <si>
    <t xml:space="preserve">Xiwang Pharma</t>
  </si>
  <si>
    <t xml:space="preserve">Zouping, Shandong, China</t>
  </si>
  <si>
    <t xml:space="preserve">Xiwang Group company (by name; not verified). HQ location from general knowledge of Xiwang Group, not a fetched page.</t>
  </si>
  <si>
    <t xml:space="preserve">CEP, CoA (PharmaOffer listing); US DMF x2 (PharmaCompass)</t>
  </si>
  <si>
    <t xml:space="preserve">https://pharmaoffer.com/api-excipient-supplier/excipients/glucose-monohydrate/cep
https://pharmacompass.com/us-drug-master-files-dmfs/anhydrous-dextrose
https://www.pharmacompass.com/dmf-26450
https://pharmaoffer.com/api-excipient-supplier/company/xiwang-pharma</t>
  </si>
  <si>
    <t xml:space="preserve">Dextrose — 37 supplier lines. Crystalline dextrose only; liquid glucose, maltodextrin and fructose are listed under 'Related products kept separate'.</t>
  </si>
  <si>
    <t xml:space="preserve">Subcategory</t>
  </si>
  <si>
    <t xml:space="preserve">Relevant products</t>
  </si>
  <si>
    <t xml:space="preserve">Grades / specs / sizes / materials</t>
  </si>
  <si>
    <t xml:space="preserve">Related products kept separate (out of scope)</t>
  </si>
  <si>
    <t xml:space="preserve">Role</t>
  </si>
  <si>
    <t xml:space="preserve">Applications</t>
  </si>
  <si>
    <t xml:space="preserve">Plants</t>
  </si>
  <si>
    <t xml:space="preserve">Suitability / verification notes</t>
  </si>
  <si>
    <t xml:space="preserve">Also listed under</t>
  </si>
  <si>
    <t xml:space="preserve">Roquette India (formerly Roquette Riddhi Siddhi)</t>
  </si>
  <si>
    <t xml:space="preserve">Dextrose – pharma grade</t>
  </si>
  <si>
    <t xml:space="preserve">Roquette group: LYCADEX PF (dextrose monohydrate, pyrogen-free); LYCADEX BioPharma (dextrose monohydrate, low endotoxin); GLUCIDEX 21 dehydrated glucose syrup listed as an India product</t>
  </si>
  <si>
    <t xml:space="preserve">Dextrose monohydrate pyrogen-free / low-endotoxin (group pharma range). Whether LYCADEX is produced in India or imported not verified.</t>
  </si>
  <si>
    <t xml:space="preserve">GLUCIDEX maltodextrin/dehydrated glucose syrup; starches; polyols</t>
  </si>
  <si>
    <t xml:space="preserve">Manufacturer (starch derivatives in India); MNC subsidiary; Importer/marketer of group pharma excipients (inferred – verify)</t>
  </si>
  <si>
    <t xml:space="preserve">Pharma (parenteral/oral), biopharma cell culture, food</t>
  </si>
  <si>
    <t xml:space="preserve">Pantnagar (Uttarakhand) and Viramgam (Gujarat) per Roquette press releases; other Indian sites of the former Riddhi Siddhi corn wet-milling business not verified here</t>
  </si>
  <si>
    <t xml:space="preserve">Subsidiary of Roquette Frères (France); Roquette took over the Riddhi Siddhi Gluco Biols corn wet-milling business (strategic partner 2005-06, business demerged 2009-10, Roquette asset acquisition reported 2012)</t>
  </si>
  <si>
    <t xml:space="preserve">Strong pharma-dextrose pedigree at group level (LYCADEX PF pyrogen-free). Indian manufacture of crystalline dextrose not verified in this pass; Riddhi Siddhi's historic timeline shows dextrose monohydrate capacity before the demerger. Confirm with Roquette India whether pharma dextrose is supplied from Indian plants or imported.</t>
  </si>
  <si>
    <t xml:space="preserve">https://www.roquette.com/pharma-lycadex-pf-dextrose-monohydrate-pyrogen-free
https://www.roquette.com/health-pharma/biologics-product-finder/lycadex-biopharma-dextrose-monohydrate-low-endotoxin
https://www.roquette.com/health-pharma/pharmaceutical-product-catalog/glucidex-21-dehydrated-glucose-syrup-india
https://www.roquette.com/press-releases/product-capabilities-viramgam-india
https://www.roquette.com/press-releases/roquette-celebrates-10-years-operation-pantnagar
https://www.indianchemicalnews.com/general/lite/roquette-inaugurates-spray-tower-at-pantnagar-site-in-india-11507
https://www.potatopro.com/node/8764
https://www.riddhisiddhi.co.in/about.html</t>
  </si>
  <si>
    <t xml:space="preserve">CERELOSE® Anhydrous Dextrose 024010 (technical specification on ingredion.com); anhydrous dextrose (US DMF via Ingredion Pharma Solutions)</t>
  </si>
  <si>
    <t xml:space="preserve">Anhydrous dextrose; 1 US DMF listed under 'Ingredion Pharma Solutions' (PharmaCompass; number not captured); spec sheet content not read</t>
  </si>
  <si>
    <t xml:space="preserve">pharma; food</t>
  </si>
  <si>
    <t xml:space="preserve">Own technical-spec PDF for CERELOSE® anhydrous dextrose surfaced in search (could not be fetched). Ingredion also owns Rafhan Maize (Pakistan) – not separately verified in this session.</t>
  </si>
  <si>
    <t xml:space="preserve">LYCADEX® PF – Dextrose monohydrate (pyrogen-free); anhydrous dextrose (US DMF listed under Roquette on PharmaCompass); dextrose datasheet for plant-care use</t>
  </si>
  <si>
    <t xml:space="preserve">Monohydrate, pyrogen-free (PF) grade marketed for injectables/dialysis (Roquette 'Injectable, Dialysis &amp; Specialty APIs' range); anhydrous dextrose covered by 1 US DMF per PharmaCompass (DMF number not captured); pharmacopoeia references and feedstock not confirmed in this session</t>
  </si>
  <si>
    <t xml:space="preserve">pharma – parenteral/injectables, dialysis solutions; specialty APIs</t>
  </si>
  <si>
    <t xml:space="preserve">Lestrem, France (new injectable-carbohydrate plant per trade-press headline)</t>
  </si>
  <si>
    <t xml:space="preserve">Company's own product pages (seen as search results) name LYCADEX® PF pyrogen-free dextrose monohydrate in its injectable/dialysis range – strong fit for ORS/IV-grade needs. Grade/pharmacopoeia claims are the company's own; page content could not be fetched (rate-limited), so specs not verified.</t>
  </si>
  <si>
    <t xml:space="preserve">Glucose monohydrate (dextrose) – pharmaceutical grade</t>
  </si>
  <si>
    <t xml:space="preserve">Glucose monohydrate; Ph. Eur. CEP holder per PharmaOffer CEP listing (CEP number not captured); product origin Spain</t>
  </si>
  <si>
    <t xml:space="preserve">pharma</t>
  </si>
  <si>
    <t xml:space="preserve">Listed as producer with CEP for glucose monohydrate (PharmaOffer). Cargill's own pharmaceutical page for 'glucose monohydrates (dextrose)' surfaced in search but could not be fetched. Verify CEP number/validity on EDQM database.</t>
  </si>
  <si>
    <t xml:space="preserve">Anhydrous dextrose (US DMF holder)</t>
  </si>
  <si>
    <t xml:space="preserve">Anhydrous dextrose; 1 US DMF listed (PharmaCompass; number not captured)</t>
  </si>
  <si>
    <t xml:space="preserve">US DMF holder for anhydrous dextrose per PharmaCompass. No company page fetched; capacity unknown.</t>
  </si>
  <si>
    <t xml:space="preserve">Anhydrous dextrose; 1 US DMF listed (PharmaCompass). DMF pages 37618 and 35737 surfaced in a search for this company – mapping not confirmed</t>
  </si>
  <si>
    <t xml:space="preserve">Listed as US DMF holder for anhydrous dextrose. No company page fetched; verify grade (oral vs injectable) and CEP status directly.</t>
  </si>
  <si>
    <t xml:space="preserve">Glucose monohydrate (pharma, CEP); 'Meritose 200 Pharma' listed by distributor Quadra</t>
  </si>
  <si>
    <t xml:space="preserve">Glucose monohydrate with Ph. Eur. CEP per PharmaOffer (CEP number not captured); product origin France</t>
  </si>
  <si>
    <t xml:space="preserve">Listed as producer with CEP for glucose monohydrate. Link of 'Meritose' brand to Tereos is from search context, not a fetched page. Verify CEP on EDQM.</t>
  </si>
  <si>
    <t xml:space="preserve">Dextrose Anhydrous; Dextrose Monohydrate (CPHI-Online product listings); glucose monohydrate (CEP); anhydrous dextrose (US DMF)</t>
  </si>
  <si>
    <t xml:space="preserve">Anhydrous and monohydrate; Ph. Eur. CEP for glucose monohydrate (PharmaOffer); 1 US DMF for anhydrous dextrose listed as 'Weifang Shengtai Pharmaceutical' (PharmaCompass; number not captured); corn starch also produced, so maize feedstock likely (not confirmed)</t>
  </si>
  <si>
    <t xml:space="preserve">Glucose syrup; maltose syrup; corn starch</t>
  </si>
  <si>
    <t xml:space="preserve">Holds both CEP and US DMF per aggregators – one of the main Chinese pharma-dextrose sources. BioSpace releases describe a new glucose facility. Company website not identified; details from CPHI-Online exhibitor listings and regulatory aggregators.</t>
  </si>
  <si>
    <t xml:space="preserve">Glucose monohydrate (CEP); anhydrous dextrose (US DMFs)</t>
  </si>
  <si>
    <t xml:space="preserve">Monohydrate with Ph. Eur. CEP (PharmaOffer); 2 US DMFs for anhydrous dextrose listed under 'XIWANG Pharmaceutical Co Ltd' (PharmaCompass; DMF 26450 surfaced in search for this company, mapping not confirmed)</t>
  </si>
  <si>
    <t xml:space="preserve">CEP + US DMF holder per aggregators – strong candidate for pharma-grade (incl. likely injectable) dextrose from China. Company site not reached; verify CEP/DMF status directly.</t>
  </si>
  <si>
    <t xml:space="preserve">Dextrose – food grade</t>
  </si>
  <si>
    <t xml:space="preserve">C*Dex™ dextrose (EMEA food &amp; beverage); dextrose (Asia-Pacific food &amp; beverage)</t>
  </si>
  <si>
    <t xml:space="preserve">Grade details not captured (pages could not be fetched)</t>
  </si>
  <si>
    <t xml:space="preserve">food; beverage</t>
  </si>
  <si>
    <t xml:space="preserve">Food-grade dextrose pages on cargill.com for EMEA and Asia-Pacific surfaced in search; content not fetched. Pharma grade is covered by Cargill S.L.U. record.</t>
  </si>
  <si>
    <t xml:space="preserve">Dextrose – grade unspecified</t>
  </si>
  <si>
    <t xml:space="preserve">Dextrose Monohydrate Powder (also labelled 'Glucose Powder'); Dextrose Anhydrous Powder</t>
  </si>
  <si>
    <t xml:space="preserve">Monohydrate and anhydrous, powder; feedstock maize. Pharmacopoeial grade (IP/BP/USP) not shown on the starch-derivatives page.</t>
  </si>
  <si>
    <t xml:space="preserve">Maize starch; liquid glucose; maltodextrin; sorbitol 70% solution; pregelatinised starch; maltitol syrup; glucose syrup solids; high-maltose corn syrup; dextrose syrup</t>
  </si>
  <si>
    <t xml:space="preserve">Manufacturer; Processor (maize wet-miller)</t>
  </si>
  <si>
    <t xml:space="preserve">Food; pharma (not stated on page – verify)</t>
  </si>
  <si>
    <t xml:space="preserve">Maize/starch units listed on company site: Dalpur, Himmatnagar (Sabarkantha, Gujarat – Bio-Chemical Division); Sitarganj (Udham Singh Nagar, Uttarakhand); Hulsoggi, Shiggaon (Haveri, Karnataka); Chalisgaon (Jalgaon, Maharashtra); Malda Industrial Growth Centre (West Bengal). Which unit makes crystalline dextrose not stated.</t>
  </si>
  <si>
    <t xml:space="preserve">Listed (NSE: GAEL; BSE)</t>
  </si>
  <si>
    <t xml:space="preserve">Company's own site lists both dextrose monohydrate and dextrose anhydrous powder. Pharma grade (IP/BP/USP), pyrogen-free status and certifications not verified in this pass – request spec sheets/CoA and certificates.</t>
  </si>
  <si>
    <t xml:space="preserve">https://www.ambujagroup.com/
https://www.ambujagroup.com/starch-derivatives
https://www.ambujagroup.com/dextrose-anhydrous-powder
https://www.ambujagroup.com/dextrose-monohydrate-powder
https://www.wrightresearch.in/stocks/stock/GAEL/</t>
  </si>
  <si>
    <t xml:space="preserve">Maize Products (Sayaji Group)</t>
  </si>
  <si>
    <t xml:space="preserve">Dextrose Monohydrate (industry-solutions page on maizeproducts.com)</t>
  </si>
  <si>
    <t xml:space="preserve">Monohydrate; feedstock maize. Grade/pharmacopoeia not verified (page not opened).</t>
  </si>
  <si>
    <t xml:space="preserve">Maize starch and derivatives; acacia gum powder; tomato powder; fat/oil powders; cheese powder</t>
  </si>
  <si>
    <t xml:space="preserve">Textile, food &amp; beverage, paper, paint, pharmaceutical, confectionery industries served (Fi Global exhibitor profile)</t>
  </si>
  <si>
    <t xml:space="preserve">Ahmedabad, Gujarat (750 MTPD maize wet-milling plant with 5 MW captive power)</t>
  </si>
  <si>
    <t xml:space="preserve">Listed (BSE; ISIN INE327G01032); flagship of Sayaji Group, est. 1941</t>
  </si>
  <si>
    <t xml:space="preserve">Dextrose monohydrate product page exists on maizeproducts.com (seen in search results; page could not be opened due to rate limit). Fi Global profile confirms corn wet-milling and pharma customers but does not itself mention dextrose. Verify grade (IP/BP/USP) and whether crystalline dextrose is made in-house.</t>
  </si>
  <si>
    <t xml:space="preserve">https://www.maizeproducts.com/industry-solutions/dextrose-monohydrate/
https://exhibitors.figlobal.com/net/company/26/90/94/result269094-565.html
https://upstox.com/stocks/sayaji-industries-limited/INE327G01032</t>
  </si>
  <si>
    <t xml:space="preserve">Dextrose Monohydrate (white free-flowing crystalline powder); Dextrose Syrup; Liquid Glucose Confectionery</t>
  </si>
  <si>
    <t xml:space="preserve">Monohydrate crystalline powder; feedstock maize (corn wet-miller). Company states food &amp; pharmaceutical grade starch IP/BP/USP/EP – that grade statement refers to starch; dextrose pharmacopoeial grade not stated.</t>
  </si>
  <si>
    <t xml:space="preserve">Dextrose syrup; liquid glucose confectionery; corn starch (food/pharma IP/BP/USP/EP, paper grade); modified starches; sweeteners</t>
  </si>
  <si>
    <t xml:space="preserve">Manufacturer; Processor (corn wet-miller); Exporter</t>
  </si>
  <si>
    <t xml:space="preserve">Food; alcoholic beverages; confectionery; pharmaceuticals (per CPHI listing)</t>
  </si>
  <si>
    <t xml:space="preserve">Dondaicha, Shindkheda, Dhule, Maharashtra, India</t>
  </si>
  <si>
    <t xml:space="preserve">Shahada Road, Rawal Industrial Estate, Dada Nagar, Dondaicha, Dhule, Maharashtra</t>
  </si>
  <si>
    <t xml:space="preserve">Listed company (Bloomberg ticker UNIVSTAR:IN seen in search results)</t>
  </si>
  <si>
    <t xml:space="preserve">CPHI Online profile (company-supplied) lists dextrose monohydrate for pharmaceutical use; exports to Mexico, East Asia and EU claimed. Pharmacopoeial grade of dextrose and injectable/pyrogen-free status not verified. 100–249 employees per CPHI.</t>
  </si>
  <si>
    <t xml:space="preserve">https://www.cphi-online.com/company/universal-starch-chem-allied-ltd/
https://www.cphi-online.com/product/dextrose-monohydrate-3/
https://www.bloomberg.com/profile/company/UNIVSTAR:IN</t>
  </si>
  <si>
    <t xml:space="preserve">Dextrose Anhydrous Powder; Dextrose Monohydrate Powder</t>
  </si>
  <si>
    <t xml:space="preserve">Anhydrous and monohydrate powder; grade not verified</t>
  </si>
  <si>
    <t xml:space="preserve">Rajkot, Gujarat (claimed)</t>
  </si>
  <si>
    <t xml:space="preserve">Own-site page titles describe the firm as manufacturer/supplier of dextrose anhydrous and monohydrate from Rajkot; pages could not be opened. A small Rajkot firm is more likely a repacker/trader than a dextrose crystalliser – verify the plant and source mill before use. Pharma grade not verified.</t>
  </si>
  <si>
    <t xml:space="preserve">CLINTOSE® Dextrose A; CLINTOSE® Dextrose VF; ADM Dextrose Monohydrate</t>
  </si>
  <si>
    <t xml:space="preserve">Monohydrate listed; other grade/pharmacopoeia details not captured</t>
  </si>
  <si>
    <t xml:space="preserve">food; beverage (pharma use not verified)</t>
  </si>
  <si>
    <t xml:space="preserve">Products seen via distributor (Tilley) and Knowde ADM storefront listings; ADM's own page not fetched. Pharma grade not verified.</t>
  </si>
  <si>
    <t xml:space="preserve">Dextrose Monohydrate</t>
  </si>
  <si>
    <t xml:space="preserve">Monohydrate; grade not verified</t>
  </si>
  <si>
    <t xml:space="preserve">Own-site page title: 'Dextrose Monohydrate Manufacturer in India, Supplier, Exporter'. No plant evidence; location and legal form not verified. Treat as trader until a plant and source mill are confirmed.</t>
  </si>
  <si>
    <t xml:space="preserve">Distributor/importer – dextrose</t>
  </si>
  <si>
    <t xml:space="preserve">Dextrose, anhydrous 97.5–102.0% (anhydrous basis) USP, Multi-Compendial, J.T.Baker®; Dextrose anhydrous granular GenAR® USP (Macron)</t>
  </si>
  <si>
    <t xml:space="preserve">Anhydrous; USP / multi-compendial; 'suitable for use as excipient' per VWR product title</t>
  </si>
  <si>
    <t xml:space="preserve">pharma; laboratory</t>
  </si>
  <si>
    <t xml:space="preserve">Multi-compendial excipient-suitable anhydrous dextrose offered under J.T.Baker brand via VWR/Avantor; likely small-pack/repacked – not a bulk primary producer.</t>
  </si>
  <si>
    <t xml:space="preserve">Dextrose / Glucose</t>
  </si>
  <si>
    <t xml:space="preserve">Not captured (page not fetched)</t>
  </si>
  <si>
    <t xml:space="preserve">food; pharma (not verified)</t>
  </si>
  <si>
    <t xml:space="preserve">Dextrose/glucose product pages on Biesterfeld country sites (AT, GB, ES, RO) surfaced in search; principals and grades not read.</t>
  </si>
  <si>
    <t xml:space="preserve">Dextrosa anhidra grado farmacéutico (pharmaceutical-grade anhydrous dextrose)</t>
  </si>
  <si>
    <t xml:space="preserve">Anhydrous, pharmaceutical grade (claimed by company)</t>
  </si>
  <si>
    <t xml:space="preserve">Mexican chemical distributor with own product page for pharma-grade anhydrous dextrose; source manufacturer not identified.</t>
  </si>
  <si>
    <t xml:space="preserve">Dextrose (pharmaceutical group)</t>
  </si>
  <si>
    <t xml:space="preserve">Dextrose listed under Hawkins' pharmaceutical group.</t>
  </si>
  <si>
    <t xml:space="preserve">Dextrose</t>
  </si>
  <si>
    <t xml:space="preserve">Own product page for dextrose surfaced in search; grades and principal not read.</t>
  </si>
  <si>
    <t xml:space="preserve">Dextrose anhydrate</t>
  </si>
  <si>
    <t xml:space="preserve">Anhydrous; listing shows CEP, USDMF, JDMF, KDMF, EDMF/ASMF documentation (holder not identified)</t>
  </si>
  <si>
    <t xml:space="preserve">Asian pharma distributor; documentation list suggests it represents a Chinese CEP/DMF-holding maker (not named).</t>
  </si>
  <si>
    <t xml:space="preserve">Anhydrous; listing shows CEP, USDMF, EDMF/ASMF documentation (holder not identified)</t>
  </si>
  <si>
    <t xml:space="preserve">Chinese pharma-raw-material exporter; underlying manufacturer not named.</t>
  </si>
  <si>
    <t xml:space="preserve">Glucose monohydrate (product origin China) with CEP and US DMF documentation</t>
  </si>
  <si>
    <t xml:space="preserve">Glucose monohydrate; CEP and USDMF listed (holder presumably the Chinese manufacturer – not identified)</t>
  </si>
  <si>
    <t xml:space="preserve">European pharma-excipient distributor of Chinese-origin pharma glucose monohydrate per PharmaOffer; underlying manufacturer not named on the page.</t>
  </si>
  <si>
    <t xml:space="preserve">Glucose anhydrous</t>
  </si>
  <si>
    <t xml:space="preserve">Anhydrous; pharmacopoeia not stated on listing</t>
  </si>
  <si>
    <t xml:space="preserve">Swiss pharma-raw-material distributor listing glucose anhydrous; no CEP/DMF of its own listed.</t>
  </si>
  <si>
    <t xml:space="preserve">Dextrose, Monohydrate, FCC Grade, Powder, Kosher, Halal</t>
  </si>
  <si>
    <t xml:space="preserve">Monohydrate; FCC (food) grade; a country-of-origin document exists for this product (not read)</t>
  </si>
  <si>
    <t xml:space="preserve">food; laboratory</t>
  </si>
  <si>
    <t xml:space="preserve">Own product page title states FCC-grade dextrose monohydrate; food grade only, not pharma. Legal name and HQ from general knowledge – not verified.</t>
  </si>
  <si>
    <t xml:space="preserve">Meritose 200 Pharma (dextrose)</t>
  </si>
  <si>
    <t xml:space="preserve">Pharma grade per product name</t>
  </si>
  <si>
    <t xml:space="preserve">Online store lists 'Meritose 200 Pharma'; manufacturer attribution (Tereos) from search context only.</t>
  </si>
  <si>
    <t xml:space="preserve">Food grade / Pharma grade Dextrose Anhydrous</t>
  </si>
  <si>
    <t xml:space="preserve">Anhydrous; food and pharma grades claimed on product page title</t>
  </si>
  <si>
    <t xml:space="preserve">food; pharma</t>
  </si>
  <si>
    <t xml:space="preserve">Own site lists dextrose anhydrous in food and pharma grades (claimed by company); legal entity and whether it manufactures not established.</t>
  </si>
  <si>
    <t xml:space="preserve">Dextrose Anhydrous Powder USP, 25 kg</t>
  </si>
  <si>
    <t xml:space="preserve">Anhydrous; USP (claimed by company); 25 kg pack</t>
  </si>
  <si>
    <t xml:space="preserve">Own product page title states USP anhydrous dextrose in 25 kg; source manufacturer not identified.</t>
  </si>
  <si>
    <t xml:space="preserve">ADM CLINTOSE® Dextrose A; CLINTOSE® Dextrose VF</t>
  </si>
  <si>
    <t xml:space="preserve">Not captured</t>
  </si>
  <si>
    <t xml:space="preserve">food; industrial</t>
  </si>
  <si>
    <t xml:space="preserve">Distributes ADM dextrose (own product pages).</t>
  </si>
  <si>
    <t xml:space="preserve">Monohydrate; grade not captured</t>
  </si>
  <si>
    <t xml:space="preserve">food; industrial (not verified)</t>
  </si>
  <si>
    <t xml:space="preserve">Own A–Z product page lists dextrose monohydrate.</t>
  </si>
  <si>
    <t xml:space="preserve">Dextrose monohydrate</t>
  </si>
  <si>
    <t xml:space="preserve">Monohydrate; origin/grade not captured</t>
  </si>
  <si>
    <t xml:space="preserve">food (not verified)</t>
  </si>
  <si>
    <t xml:space="preserve">Indonesian B2B listing (Indotrading) for dextrose monohydrate; legal form 'PT' assumed from listing slug – not verified.</t>
  </si>
  <si>
    <t xml:space="preserve">Dextrose monohydrate food grade</t>
  </si>
  <si>
    <t xml:space="preserve">Monohydrate; food grade</t>
  </si>
  <si>
    <t xml:space="preserve">food</t>
  </si>
  <si>
    <t xml:space="preserve">Only a B2B hotsite listing (b2usa) seen; legal form unknown.</t>
  </si>
  <si>
    <t xml:space="preserve">Dextrose Monohydrate (product listing)</t>
  </si>
  <si>
    <t xml:space="preserve">Grade not verified</t>
  </si>
  <si>
    <t xml:space="preserve">B2B specialty-chemicals sourcing platform with a dextrose monohydrate product page. Source mill, grade and legal entity not verified; useful only as a back-up sourcing channel.</t>
  </si>
  <si>
    <t xml:space="preserve">Dextrose Monohydrate (product-detail page)</t>
  </si>
  <si>
    <t xml:space="preserve">Only a search result titled 'Dextrose Monohydrate' on pciplindia.com was seen; the page could not be opened, so the legal entity, location, source mill and grade are all unverified. Weak lead.</t>
  </si>
  <si>
    <t xml:space="preserve">Regaal</t>
  </si>
  <si>
    <t xml:space="preserve">Starch processor – no crystalline dextrose found</t>
  </si>
  <si>
    <t xml:space="preserve">Maize starch / corn starch / food-grade starches; liquid glucose (LG); maltodextrin powder (MPD)</t>
  </si>
  <si>
    <t xml:space="preserve">Feedstock maize; food-grade starches</t>
  </si>
  <si>
    <t xml:space="preserve">Liquid glucose; maltodextrin powder; maize starch</t>
  </si>
  <si>
    <t xml:space="preserve">Food (food-grade starches)</t>
  </si>
  <si>
    <t xml:space="preserve">India (corporate office not verified)</t>
  </si>
  <si>
    <t xml:space="preserve">Kishanganj, Bihar (maize processing; new liquid glucose and maltodextrin powder facility commissioned)</t>
  </si>
  <si>
    <t xml:space="preserve">1,650 TPD maize crushing after doubling (Rs 389 crore Kishanganj expansion; trade-press headlines)</t>
  </si>
  <si>
    <t xml:space="preserve">Listed after IPO (IPO coverage by Samco/JK BFSL)</t>
  </si>
  <si>
    <t xml:space="preserve">Large maize processor in eastern India; no crystalline dextrose seen (LG and MPD only). Possible back-up for maize-derived inputs or a future dextrose source.</t>
  </si>
  <si>
    <t xml:space="preserve">https://regaalresources.com/
https://agrospectrumindia.com/news/5/34078/regaal-resources-doubles-capacity-to-1650-tpd-commissions-new-lg-and-mpd-facility-in-bihar-with-rs-389-cr-investment.html
https://tradebrains.in/regaal-resources-doubles-crushing-capacity-to-1650-tpd-full-year-revenue-touches-1134-crore/
https://www.outlookbusiness.com/news/regaal-resources-doubles-maize-processing-capacity-with-389-cr-expansion-at-kishanganj-bihar
https://www.samco.in/ipo/regaal-resources-ipo</t>
  </si>
  <si>
    <t xml:space="preserve">Sukhjit Group</t>
  </si>
  <si>
    <t xml:space="preserve">Maize starch and derivatives (exact dextrose products not verified in this pass)</t>
  </si>
  <si>
    <t xml:space="preserve">Feedstock maize</t>
  </si>
  <si>
    <t xml:space="preserve">Phagwara, Punjab, India</t>
  </si>
  <si>
    <t xml:space="preserve">Phagwara, Punjab (unit confirmed in May 2026 maintenance-shutdown filing); other plants not verified here</t>
  </si>
  <si>
    <t xml:space="preserve">Listed (NSE: SUKHJITS; BSE)</t>
  </si>
  <si>
    <t xml:space="preserve">CRISIL rating rationales dated 12 Jun 2026, 8 Aug 2025, 9 Aug 2024 and others exist; CARE rationales 2019/2022 (rating values not read)</t>
  </si>
  <si>
    <t xml:space="preserve">Not checked: the company website and CRISIL rationale could not be opened because of tool rate limits. Its dextrose monohydrate/anhydrous output is therefore unconfirmed – high-priority candidate to check (sukhjitgroup.com; CRISIL rationale gives capacity).</t>
  </si>
  <si>
    <t xml:space="preserve">https://www.crisil.com/mnt/winshare/Ratings/RatingList/RatingDocs/TheSukhjitStarchandChemicalsLimited_June 12_ 2026_RR_394602.html
https://www.careratings.com/upload/CompanyFiles/PR/20092022074241_The_Sukhjit_Starch_&amp;_Chemicals_Limited.pdf
https://filingreader.com/news-wire/mumbai/2026-05-06/sukhjit-starch-to-shut-phagwara-unit-for-maintenance
https://www.morningstar.com.au/investments/security/NSE/SUKHJITS</t>
  </si>
  <si>
    <t xml:space="preserve">Maize — 13 supplier lines. Upstream input to starch/dextrose; FDC is not assumed to buy maize directly.</t>
  </si>
  <si>
    <t xml:space="preserve">Starch wet-miller (maize processor)</t>
  </si>
  <si>
    <t xml:space="preserve">Maize wet-milling into starch derivatives (starch, liquid glucose, maltodextrin, sorbitol), feed ingredients and fermentation products</t>
  </si>
  <si>
    <t xml:space="preserve">Maize procured as raw material for wet milling; NSE disclosure (26-Mar-2025) titled 'Commercial Production 1200TPD Maize' for a new maize processing unit; per-plant grind capacities not confirmed in this session</t>
  </si>
  <si>
    <t xml:space="preserve">Soya derivatives, edible oils, cotton yarn; dextrose/liquid glucose (covered under Dextrose/Glucose)</t>
  </si>
  <si>
    <t xml:space="preserve">food; pharma; paper; textile; feed</t>
  </si>
  <si>
    <t xml:space="preserve">Upstream input (n/a)</t>
  </si>
  <si>
    <t xml:space="preserve">Maize processing (Bio-Chemical Division): Village Dalpur, Himmatnagar, Dist. Sabarkantha, Gujarat; Village Hulsoggi, Taluka Shiggaon, Dist. Haveri, Karnataka; Chalisgaon, Dist. Jalgaon, Maharashtra; also Sitarganj (Uttarakhand) and Malda (West Bengal)</t>
  </si>
  <si>
    <t xml:space="preserve">Listed (NSE: GAEL; BSE: 524226)</t>
  </si>
  <si>
    <t xml:space="preserve">One of India's largest maize processors; plants sit in the maize belts covered here (Sabarkantha, Haveri, Jalgaon). Large maize buyer rather than a maize seller; relevant as an upstream benchmark and for its dextrose/starch output. Maize spec (moisture/aflatoxin) not published.</t>
  </si>
  <si>
    <t xml:space="preserve">https://www.ambujagroup.com/
https://nsearchives.nseindia.com/corporate/GAEL_26032025100331_Commercial_Production_1200TPD_Maize.pdf
https://www.careratings.com/upload/CompanyFiles/PR/202512121257_Gujarat_Ambuja_Exports_Limited.pdf</t>
  </si>
  <si>
    <t xml:space="preserve">Corn wet milling (maize starch and derivatives) at the ex-Cargill Karnataka plant</t>
  </si>
  <si>
    <t xml:space="preserve">Plant reported as a 300,000 MT corn milling facility (trade press headline)</t>
  </si>
  <si>
    <t xml:space="preserve">Starch derivatives, glucose (Dextrose/Glucose category)</t>
  </si>
  <si>
    <t xml:space="preserve">Corn wet-milling facility in Karnataka acquired from Cargill India (Davangere location from general knowledge; not re-verified)</t>
  </si>
  <si>
    <t xml:space="preserve">Company press release dated 19-Jan-2026 on RSGBL site plus trade press (World Grain, Papermart, The Machine Maker) report completion of the acquisition. Press release content not read (fetch rate-limited).</t>
  </si>
  <si>
    <t xml:space="preserve">Roquette India</t>
  </si>
  <si>
    <t xml:space="preserve">Maize starch and starch derivatives</t>
  </si>
  <si>
    <t xml:space="preserve">Polyols, dextrose, pharma excipients (other categories)</t>
  </si>
  <si>
    <t xml:space="preserve">pharma; food; nutrition; industrial</t>
  </si>
  <si>
    <t xml:space="preserve">Viramgam, Gujarat (unit inaugurated Aug-2019); other Indian starch sites acquired in 2012 (seller named as Riddhi Siddhi Gluco Biols in general knowledge; not confirmed in pages read)</t>
  </si>
  <si>
    <t xml:space="preserve">MNC subsidiary (Roquette Freres, France)</t>
  </si>
  <si>
    <t xml:space="preserve">Roquette press releases cover Viramgam capabilities and the 2019 unit inauguration; 2012 acquisition of Indian starch assets reported by FoodNavigator, EUWID and PotatoPro. Indian legal entity name not verified this session. Maize buyer rather than seller.</t>
  </si>
  <si>
    <t xml:space="preserve">https://www.roquette.com/press-releases/product-capabilities-viramgam-india
https://www.roquette.com/media-center/press-center/2019-08-28-roquette-india-viramgam-s-unit-inauguration
https://www.foodnavigator.com/Article/2012/06/01/Roquette-Indian-starch-JV-to-drive-market-traction</t>
  </si>
  <si>
    <t xml:space="preserve">Maize (corn) starch and derivatives; pharma-industry starch products (IndiaMART catalogue)</t>
  </si>
  <si>
    <t xml:space="preserve">Liquid glucose, dextrose, sizing agents (other categories)</t>
  </si>
  <si>
    <t xml:space="preserve">pharma; food; textile; paper</t>
  </si>
  <si>
    <t xml:space="preserve">Maharashtra, India</t>
  </si>
  <si>
    <t xml:space="preserve">Dondaicha, Dist. Dhule, Maharashtra (not re-verified this session)</t>
  </si>
  <si>
    <t xml:space="preserve">Listed (BSE: 524408); founded 1973</t>
  </si>
  <si>
    <t xml:space="preserve">CPHI-Online lists the company, which suggests pharma-ingredient positioning. Plant location comes from general knowledge and was not re-verified; capacity not verified. Maize buyer.</t>
  </si>
  <si>
    <t xml:space="preserve">https://www.cphi-online.com/company/universal-starch-chem-allied-ltd/
https://m.indiamart.com/universalstarch/corn-starch.html
https://www.sharescart.com/company/univer-starch-chem/</t>
  </si>
  <si>
    <t xml:space="preserve">Sayaji</t>
  </si>
  <si>
    <t xml:space="preserve">Maize processing into starches and derivatives</t>
  </si>
  <si>
    <t xml:space="preserve">Dextrose, liquid glucose, sorbitol (other categories)</t>
  </si>
  <si>
    <t xml:space="preserve">food; pharma; paper; textile</t>
  </si>
  <si>
    <t xml:space="preserve">Kathwada, Ahmedabad, Gujarat (general knowledge; not re-verified)</t>
  </si>
  <si>
    <t xml:space="preserve">https://www.sayajigroup.in/</t>
  </si>
  <si>
    <t xml:space="preserve">Listed (BSE)</t>
  </si>
  <si>
    <t xml:space="preserve">Listed ingredients company (Fi Global exhibitor; CARE-rated). Maize processing comes from general knowledge and was not confirmed on a page read this session (fetches rate-limited); plant location and capacity not confirmed. Maize buyer.</t>
  </si>
  <si>
    <t xml:space="preserve">https://www.careratings.com/upload/CompanyFiles/PR/Sayaji Industries Limited-03-11-2019.pdf
https://www.kotaksecurities.com/stocks/bse-sayaji-industries-ltd
https://exhibitors.figlobal.com/net/company/26/90/94/result269094-565.html</t>
  </si>
  <si>
    <t xml:space="preserve">Maize starch, corn syrup, refined corn oil, gluten, maize oil cake (company 'Starch Story' page)</t>
  </si>
  <si>
    <t xml:space="preserve">Installed base 80,000 MTPA, processing potato, maize and tapioca (company page, (c)2015)</t>
  </si>
  <si>
    <t xml:space="preserve">corn syrup, modified starches, refined corn oil, clays/kaolin</t>
  </si>
  <si>
    <t xml:space="preserve">paper, paint, inks, pharmaceuticals, rubber, oil drilling, textiles (company page)</t>
  </si>
  <si>
    <t xml:space="preserve">Yamunanagar, Haryana (original corn wet-milling starch plant); Shimoga, Karnataka (value-added modified starches)</t>
  </si>
  <si>
    <t xml:space="preserve">Yamunanagar (Haryana) unit began as a corn wet-milling plant, so it buys maize in the North. The company page is dated ((c)2015), so whether it still grinds maize and at what capacity needs re-checking. Pharma end-use is claimed by the company. Maize consumer, not a maize seller.</t>
  </si>
  <si>
    <t xml:space="preserve">Native corn starch and starch derivatives (dextrose monohydrate, maltodextrin powder, liquid glucose); corn-based sorbitol; grain-based ethanol/ENA (grain-agnostic incl. maize)</t>
  </si>
  <si>
    <t xml:space="preserve">Corn grinding 300 TPD (Muzaffarnagar); planned 1,000 TPD maize grinding (Bihar); sorbitol 45,000 MTPA; distilleries run on damaged food grains, broken rice and maize/corn</t>
  </si>
  <si>
    <t xml:space="preserve">dextrose monohydrate, maltodextrin, liquid glucose, sorbitol, ethanol/ENA, PCC/GCC calcium carbonate</t>
  </si>
  <si>
    <t xml:space="preserve">starch derivatives (food/pharma/industrial), sorbitol, ethanol blending, calcium carbonate for paper</t>
  </si>
  <si>
    <t xml:space="preserve">Muzaffarnagar, Uttar Pradesh (native corn starch, 300 tonnes corn/day since Aug 2016; dextrose monohydrate, maltodextrin, liquid glucose); Goalpara, Assam (grain-based ethanol, 500 KLPD from June 2024 plus 250 KLPD commissioned 2025); Boregaon/Chhindwara, MP (grain distillery); Bharuch, Gujarat (sorbitol); Bihar: ~100 acres allotted by BIADA for a planned 1,000 TPD maize grinding project</t>
  </si>
  <si>
    <t xml:space="preserve">Uses maize at its UP starch/dextrose unit and its Assam grain ethanol plant, with a planned Bihar maize-grinding project. It buys maize rather than selling it. A useful lead: a dextrose maker that also processes its own maize. Bihar project status not confirmed. Pharma grade of its dextrose not verified in this slice.</t>
  </si>
  <si>
    <t xml:space="preserve">Sukhjit Starch (SSCL) | Sukhjit Starch; Sukhjit Biocorn (Nashik/Yeola project)</t>
  </si>
  <si>
    <t xml:space="preserve">Maize starch and derivatives: liquid glucose, sorbitol 70%, monohydrate dextrose, dextrin; maize by-products for poultry and cattle feed and partly maize oil (CRISIL rationale) | Maize processing (starch and derivatives); Nashik maize unit under development</t>
  </si>
  <si>
    <t xml:space="preserve">Total maize grinding capacity 1,600 TPD across four plants; about 400 TPD expansion expected in FY2025 (CRISIL, Aug 2024). Specs for incoming maize (moisture/aflatoxin) not published in sources seen.</t>
  </si>
  <si>
    <t xml:space="preserve">liquid glucose, sorbitol 70%, dextrose monohydrate, dextrin (Dextrose/Glucose slice)</t>
  </si>
  <si>
    <t xml:space="preserve">Processor (starch wet-miller); Manufacturer | Processor (maize wet-miller); Manufacturer</t>
  </si>
  <si>
    <t xml:space="preserve">starch and starch derivatives; by-products to poultry/cattle feed and food (maize oil) | food; pharma; industrial</t>
  </si>
  <si>
    <t xml:space="preserve">Phagwara, Punjab, India (general knowledge)</t>
  </si>
  <si>
    <t xml:space="preserve">Phagwara, Punjab (in mega food park, operational since Nov 2020); Tahiwal, Himachal Pradesh; Malda, West Bengal; Nizamabad, Telangana | Planned maize processing plant at Yeola MIDC, Dist. Nashik, Maharashtra (MoU with Govt of Maharashtra); existing plants mostly North/East</t>
  </si>
  <si>
    <t xml:space="preserve">Promoted by the Sardana family and associates; subsidiary Sukhjit Mega Food Park &amp; Infra Ltd; publicly traded (stock pages on IIFL/Arihant Capital) | Listed (BSE)</t>
  </si>
  <si>
    <t xml:space="preserve">CRISIL A+/Stable (long term) and CRISIL A1 (short term), reaffirmed, 9 Aug 2024 | CRISIL rationales Feb-2023 and Jul-2023 exist; not read</t>
  </si>
  <si>
    <t xml:space="preserve">Large maize processor: CRISIL notes plants in North, South and East India sit close to maize sources, so different weather patterns allow steady procurement through the year; maize makes up about 70% of operating income. Upstream maize-to-dextrose processor (makes monohydrate dextrose), not a seller of raw maize: no evidence it resells grain. Pharma grade of its dextrose not verified in this slice. | Legal name taken from CRISIL rationale titles. Whether Sukhjit Biocorn is a separate subsidiary was not verified, and the Rs 500 crore (MoU) and Rs 760 crore (Yeola) figures may describe the same project. The Maharashtra unit is a project, not yet operating; it will become a large maize buyer in the Nashik belt. HQ and main plants are covered by the North researcher.</t>
  </si>
  <si>
    <t xml:space="preserve">https://www.crisil.com/mnt/winshare/Ratings/RatingList/RatingDocs/TheSukhjitStarchandChemicalsLimited_August 09_ 2024_RR_350173.html
https://www.crisil.com/mnt/winshare/Ratings/RatingList/RatingDocs/TheSukhjitStarchandChemicalsLimited_July 18_ 2024_RR_347845.html
https://www.careratings.com/upload/CompanyFiles/PR/The Sukhjit Starch &amp; Chemicals Limited-10-09-2017.pdf
https://www.indiainfoline.com/company/sukhjit-starch-chemicals-ltd/summary
https://www.indianchemicalnews.com/general/sukhjit-starch-signs-rs-500-crore-mou-with-maharashtra-for-nashik-maize-unit-31805
https://www.freepressjournal.in/pune/nashik-sukhjit-biocorn-to-invest-760-crore-in-yeola-midc-agro-processing-plant
https://www.crisil.com/mnt/winshare/Ratings/RatingList/RatingDocs/TheSukhjitStarchandChemicalsLimited_July 20, 2023_RR_323242.html</t>
  </si>
  <si>
    <t xml:space="preserve">Maize starch and derivatives (maize processing)</t>
  </si>
  <si>
    <t xml:space="preserve">Liquid glucose, dextrose (other categories)</t>
  </si>
  <si>
    <t xml:space="preserve">Madhya Pradesh (not re-verified)</t>
  </si>
  <si>
    <t xml:space="preserve">Listed starch company; its link to maize processing comes only from search context (it surfaced in maize-starch searches), and the location comes from general knowledge. Capacity, specs and rating not verified (an Acuite rationale ID 27656 surfaced in the search but was not read and is not confirmed to be this company).</t>
  </si>
  <si>
    <t xml:space="preserve">Regaal Resources</t>
  </si>
  <si>
    <t xml:space="preserve">Native maize starch, modified starch, maize flour, custard powder, baking powder, icing sugar, gluten, germ, enriched fibre; liquid glucose (LG) and MPD facility commissioned at Bihar plant (trade-press headline)</t>
  </si>
  <si>
    <t xml:space="preserve">Crushing capacity 750 TPD, expanded to 1,650 TPD (2026 announcements); 65,000 MT maize storage. Incoming maize specs not published in sources seen.</t>
  </si>
  <si>
    <t xml:space="preserve">modified starch, dextrins, liquid glucose, maltodextrin, maize flour, custard/baking powder</t>
  </si>
  <si>
    <t xml:space="preserve">paper, animal feed, food processing, textiles, adhesives; food-grade starches for bakery/confectionery</t>
  </si>
  <si>
    <t xml:space="preserve">Kolkata, West Bengal, India (corporate office)</t>
  </si>
  <si>
    <t xml:space="preserve">Kishanganj, Bihar (54-acre maize milling complex with 7.1 MW cogeneration and ZLD; 65,000 MT maize storage)</t>
  </si>
  <si>
    <t xml:space="preserve">750 TPD maize crushing installed; doubled to 1,650 TPD at Kishanganj (Business Upturn / TipRanks headlines)</t>
  </si>
  <si>
    <t xml:space="preserve">Incorporated 2012, converted to public company 2022; IPO opened 12 Aug 2025 (Business Today); listed</t>
  </si>
  <si>
    <t xml:space="preserve">Large maize wet-miller in the Bihar/Seemanchal maize belt. Per IPO coverage it sources maize directly from farmers and aggregators in Bihar and West Bengal and keeps 65,000 MT of maize storage, so its buying network is a useful map of the regional supply base. Makes liquid glucose, but no evidence of dextrose monohydrate or pharma grade. Processor that consumes maize; no evidence it resells raw maize.</t>
  </si>
  <si>
    <t xml:space="preserve">https://x.com/LnprCapital/status/1957687364702335124?lang=en
https://www.businessupturn.com/business/corporates/regaal-resources-doubles-maize-processing-capacity-to-1650-tpd-in-kishanganj
https://www.tipranks.com/news/company-announcements/regaal-resources-doubles-maize-capacity-becomes-eastern-indias-largest-specialty-producer
https://chemindigest.com/regaal-resources-commissions-lg-and-mpd-facility-in-bihar/
https://www.outlookbusiness.com/news/regaal-resources-doubles-maize-processing-capacity-with-389-cr-expansion-at-kishanganj-bihar
https://www.businesstoday.in/amp/markets/ipo-corner/story/regaal-resources-ipo-opens-today-check-reviews-ratings-latest-gmp-more-488973-2025-08-12</t>
  </si>
  <si>
    <t xml:space="preserve">Cooperative/government procurement agency</t>
  </si>
  <si>
    <t xml:space="preserve">Maize procured at MSP from farmers (in coordination with NAFED)</t>
  </si>
  <si>
    <t xml:space="preserve">FAQ (fair average quality) maize under MSP norms (general MSP practice; specs not read)</t>
  </si>
  <si>
    <t xml:space="preserve">feed; industrial</t>
  </si>
  <si>
    <t xml:space="preserve">Maize procurement centres across Telangana</t>
  </si>
  <si>
    <t xml:space="preserve">Indian Cooperative reports that MARKFED is coordinating maize procurement with NAFED; Siasat and South First cover the opening of procurement centres. Stocks are disposed of by auction or tender, not by spot sale. Exact legal name not verified.</t>
  </si>
  <si>
    <t xml:space="preserve">Maize procured at MSP and supplied to ethanol distilleries (per trade press) | Maize procurement at MSP (e.g. 1 lakh tonnes from Telangana)</t>
  </si>
  <si>
    <t xml:space="preserve">FAQ (fair average quality) maize under MSP norms; detailed specs not seen | FAQ maize under MSP norms</t>
  </si>
  <si>
    <t xml:space="preserve">pulses, oilseeds, other agri commodities</t>
  </si>
  <si>
    <t xml:space="preserve">ethanol feedstock; price support | feed; ethanol; industrial</t>
  </si>
  <si>
    <t xml:space="preserve">Procurement centres in maize states incl. Telangana</t>
  </si>
  <si>
    <t xml:space="preserve">Reported as a central agency allowed to procure maize at MSP and sell it to ethanol makers at a base rate (SOP for corn procurement for ethanol). Sales go to distilleries; whether it sells to starch processors was not verified. Seen only in news headlines, not fetched. | Sells procured stocks through open-market sale or e-auction; usable as a bulk source in surplus years.</t>
  </si>
  <si>
    <t xml:space="preserve">Maize procured at MSP and sold to ethanol distilleries (per trade press) | MSP procurement push alongside NAFED amid price fall; maize MSP procurement deadline for kharif 2025-26 extended to 30-Apr</t>
  </si>
  <si>
    <t xml:space="preserve">ethanol feedstock | feed; ethanol</t>
  </si>
  <si>
    <t xml:space="preserve">Named alongside NAFED as an agency that may sell MSP-procured maize to ethanol makers at a base rate. Seen only in news headlines; actual maize volumes and states not verified. | Named with NAFED in an Indian Cooperative report on an MSP procurement push; the extent of its maize-specific role was not verified.</t>
  </si>
  <si>
    <t xml:space="preserve">PET Resin — 7 supplier lines. Virgin vs recycled and bottle- vs film-grade are separated by subcategory.</t>
  </si>
  <si>
    <t xml:space="preserve">Virgin bottle-grade resin manufacturer</t>
  </si>
  <si>
    <t xml:space="preserve">Relpet PET resin (polyester); grade Relpet G5801 (RIL-hosted spec sheet 'py_rpt_g5801_spec.pdf'). Also runs PET bottle recycling (trade press: 'Reliance to double PET recycling capacity to 5 bn bottles').</t>
  </si>
  <si>
    <t xml:space="preserve">Relpet G5801 (spec sheet on RIL's asset server and datasheets on UL Prospector, SpecialChem and Knowde). IV, copolymer type and food-contact statements were NOT read in this pass because the page fetches were blocked.</t>
  </si>
  <si>
    <t xml:space="preserve">Recycled polyester fibre (R|Elan) from PET bottle recycling; it is not shown to be food-grade rPET resin</t>
  </si>
  <si>
    <t xml:space="preserve">PET packaging resin (application per grade not verified in this pass)</t>
  </si>
  <si>
    <t xml:space="preserve">Food/pharma-contact compliance of Relpet grades not verified (spec sheet not readable this session). The FSSAI rPET authorisation status of Reliance's recycling units was not checked.</t>
  </si>
  <si>
    <t xml:space="preserve">PET resin (JV formed in 2016 by Indorama Ventures and Dhunseri for PET manufacturing in India)</t>
  </si>
  <si>
    <t xml:space="preserve">Not verified in this pass</t>
  </si>
  <si>
    <t xml:space="preserve">PET packaging resin</t>
  </si>
  <si>
    <t xml:space="preserve">Haldia, West Bengal (from caller's brief; not confirmed in the sources read)</t>
  </si>
  <si>
    <t xml:space="preserve">Food-contact grade claims not verified (the Indorama page could not be fetched; HTTP 429).</t>
  </si>
  <si>
    <t xml:space="preserve">Chemco</t>
  </si>
  <si>
    <t xml:space="preserve">Recycled PET – food-grade (bottle-to-bottle) recycler</t>
  </si>
  <si>
    <t xml:space="preserve">rPET recycling plant in Gujarat (packaging-gateway headline 'Chemco Gujarat rPET recycling plant')</t>
  </si>
  <si>
    <t xml:space="preserve">Not verified</t>
  </si>
  <si>
    <t xml:space="preserve">Gujarat (rPET recycling plant)</t>
  </si>
  <si>
    <t xml:space="preserve">Article not read. Whether the plant is bottle-to-bottle/food-grade and whether it holds FSSAI authorisation are UNVERIFIED, and the subcategory is provisional.</t>
  </si>
  <si>
    <t xml:space="preserve">https://www.packaging-gateway.com/news/chemco-gujarat-rpet-recycling-plant/</t>
  </si>
  <si>
    <t xml:space="preserve">Food-grade recycled PET (rPET) resin made on Starlinger bottle-to-bottle equipment; supplied rPET for 'India's first 100% rPET beverage bottle'</t>
  </si>
  <si>
    <t xml:space="preserve">Bottle-grade food-contact rPET (IV not verified)</t>
  </si>
  <si>
    <t xml:space="preserve">Beverage and food packaging</t>
  </si>
  <si>
    <t xml:space="preserve">Trade press (Mar 2022) reports a positive EFSA safety assessment for its rPET process, the first for an Indian recycler. Not checked against the EFSA Journal itself. FSSAI authorisation and US FDA no-objection letter status were not verified.</t>
  </si>
  <si>
    <t xml:space="preserve">PET recycling on EREMA systems (PET and PO recycling); food-grade rPET (Packaging South Asia item 'Dalmia Polypro's food-grade')</t>
  </si>
  <si>
    <t xml:space="preserve">Recycled polyolefins (PO)</t>
  </si>
  <si>
    <t xml:space="preserve">Food/beverage packaging (claimed in trade press)</t>
  </si>
  <si>
    <t xml:space="preserve">New facility planned in Maharashtra (DFC-funded, per Outlook Business)</t>
  </si>
  <si>
    <t xml:space="preserve">Food-grade claim comes from trade press and was NOT verified against FSSAI, US FDA or EFSA. A packaging-gateway item on an 'SLMG–Dalmia India plant' was seen but not read. The legal name rests on the filename of a Circulate Capital press release ('DalmiaPolyproIndustriesPL').</t>
  </si>
  <si>
    <t xml:space="preserve">Recycled PET: Starlinger bottle-to-fibre and bottle-to-bottle recycling lines for 'Indian recycling brand Go Rewise' (trade press)</t>
  </si>
  <si>
    <t xml:space="preserve">Bottle-to-bottle rPET (grade/IV not verified)</t>
  </si>
  <si>
    <t xml:space="preserve">Recycled polyester staple fibre / yarn (bottle-to-fibre)</t>
  </si>
  <si>
    <t xml:space="preserve">Beverage/food packaging rPET (bottle-to-bottle); fibre</t>
  </si>
  <si>
    <t xml:space="preserve">Warangal, Telangana bottle-to-bottle unit via subsidiary Ganesha Ecopet (from caller's brief; not confirmed in the sources read)</t>
  </si>
  <si>
    <t xml:space="preserve">Food-contact status of the bottle-to-bottle rPET (FSSAI authorisation, US FDA no-objection letter) NOT verified in this pass. Linking the GO Rewise brand to Ganesha Ecosphere comes from the search context; the article itself was not read.</t>
  </si>
  <si>
    <t xml:space="preserve">PET bottle-to-bottle recycling (EU Circular Economy Stakeholder Platform good-practice entry)</t>
  </si>
  <si>
    <t xml:space="preserve">Beverage bottles</t>
  </si>
  <si>
    <t xml:space="preserve">EU food-contact status (EFSA opinion / Reg. (EU) 2022/1616 authorisation) NOT verified in this pass.</t>
  </si>
  <si>
    <t xml:space="preserve">PET Bottles &amp; Preforms — 19 supplier lines. Subcategory says preforms, bottles or both; HDPE/PP lines are noted separately.</t>
  </si>
  <si>
    <t xml:space="preserve">Chemco Group</t>
  </si>
  <si>
    <t xml:space="preserve">Preforms &amp; bottles</t>
  </si>
  <si>
    <t xml:space="preserve">PET bottles; in-house food-grade rPET for bottle production (Rs 125 crore rPET bottle recycling plant in Gujarat)</t>
  </si>
  <si>
    <t xml:space="preserve">Food-grade rPET (FSSAI nod per Packaging South Asia headline)</t>
  </si>
  <si>
    <t xml:space="preserve">food; beverage; personal care (not verified)</t>
  </si>
  <si>
    <t xml:space="preserve">Sanand, Gujarat (food-grade rPET bottle recycling facility, per Industrial Automation India URL); Daman/Silvassa operations not verified</t>
  </si>
  <si>
    <t xml:space="preserve">Evidence is search-result titles/URLs only (WebFetch rate-limited, search budget exhausted in this session); pages not read. Multiple trade-press headlines confirm a Rs 125 crore food-grade rPET bottle recycling plant at Sanand, Gujarat and FSSAI nod. Chemco's IndiaMART storefront surfaced for 'PET preform manufacturer Daman Silvassa', but plant locations, legal entity and pharma suitability not verified.</t>
  </si>
  <si>
    <t xml:space="preserve">https://www.packaginginsights.com/news/chemco-pet-bottle-recycling-india.html
https://www.plastemart.com/news-plastics-information/chemco-group-pioneering-circularity-with-in-house-rpet-production/75112
https://www.industrialautomationindia.in/news/chemco-group-food-grade-rpet-facility-sanand
https://themachinemaker.com/news/chemco-group-launches-%e2%82%b9125-crore-food-grade-rpet-bottle-recycling-plant-in-gujarat/
https://packagingsouthasia.com/type-of-article/industry-news/chemco-gets-fssai-nod/
https://m.indiamart.com/chemcoplastic</t>
  </si>
  <si>
    <t xml:space="preserve">PET packaging (bottles/jars) - Packaging South Asia profile titled 'PET pioneer Pearl'; product list not read this session | PET containers/bottles (described as 'PET pioneer' by Packaging South Asia)</t>
  </si>
  <si>
    <t xml:space="preserve">Delhi HQ and the 'Pearl Pet' brand come from the caller's candidate list and were not confirmed from a fetched page. No pharma/food-contact certification verified. The company pages and filings could not be opened (HTTP 429), so the current operating status, plants and product range are unverified. Check the latest BSE/NSE filings before shortlisting. | Evidence is search-result titles/URLs only (WebFetch rate-limited, search budget exhausted in this session); pages not read. Listed company; Packaging South Asia feature 'PET pioneer Pearl'. HQ/plant locations (Daman etc.) and current product range/operating scale NOT verified this session; region set India-Pan pending verification.</t>
  </si>
  <si>
    <t xml:space="preserve">PET preforms (the company site hosts a 'Preforms' brochure PDF); rigid plastic packaging (per acquisition news) | PET preforms (company-hosted 'Preforms' brochure PDF); PET bottles and PET jars (TradeIndia 'Pet Bisleri Bottles' and 'Plastic Pet Jars' listings, Bengaluru); rigid plastic packaging (corporate presentation) | PET preforms (company-hosted 'Preforms' brochure); rigid plastic packaging per corporate presentation</t>
  </si>
  <si>
    <t xml:space="preserve">Neck finishes, preform weights, sizes not captured (brochure PDF could not be read this session). | Not captured (preform brochure and corporate presentation could not be read in this session)</t>
  </si>
  <si>
    <t xml:space="preserve">Flexible packaging (per Labels &amp; Labeling headline 'Manjushree diversifies into flexible packaging') | Other rigid plastic packaging (HDPE/PP) likely but not verified</t>
  </si>
  <si>
    <t xml:space="preserve">beverage; food; pharma (pharma segment not verified this session) | beverage; food; pharma (not verified this session)</t>
  </si>
  <si>
    <t xml:space="preserve">New plant at Silvassa (per Packaging South Asia headline); plant planned at Chamarajanagar, Karnataka (per Mysuru Infra Hub headline); Delhi-region operations through the acquisition of Delhi-based Varahi Limited, a rigid plastic packaging maker (2016, per PrintWeek/PETplanet headlines). No North, East or Northeast plant addresses (e.g. Pantnagar, Guwahati) were verified. | Bengaluru area (per IndiaMART/TradeIndia seller pages 'Manufacturer from Bengaluru'); new plastic packaging plant planned at Chamarajanagar, Karnataka (Mysuru Infra Hub headline). Other plant locations not verified this session.</t>
  </si>
  <si>
    <t xml:space="preserve">https://www.manjushreeindia.com/</t>
  </si>
  <si>
    <t xml:space="preserve">Private, unlisted (shares trade on unlisted platforms); Advent International exited per an Altius Investech blog title. The current owner was not verified this session. | Private; Advent International-backed (per other team file citing Advent case page; not re-verified here). An IndiaMART storefront at the URL slug 'manjushree-technopark-limited' is titled 'Alternicq Limited - Manufacturer of Plastic Container &amp; Pet Bottles from Bengaluru', and an IndiaInfoline 'alternicq-ltd' summary surfaced in a Manjushree search, suggesting a possible change of name to Alternicq Limited - NOT verified. | Private; backed by Advent International (per PrintWeek headline 'Manjushree Technopack backed by Advent to acquire Hitesh Plastics' and Advent International case page); acquired Hitesh Plastics (2022)</t>
  </si>
  <si>
    <t xml:space="preserve">The company's own site hosts a preform brochure (Preforms.pdf), but the brochure, the corporate presentation and the website could not be read (HTTP 429). Neck finishes, pharma grades and certifications were not verified. An IndiaMART listing is titled 'Manjushree Technopack Limited - Manufacturer from New Delhi'. Bengaluru HQ is from general knowledge and was not confirmed from a fetched page. | Evidence is search-result titles/URLs only (WebFetch rate-limited and shared search budget exhausted this session); pages not read. Largest South-India-based rigid PET packaging maker by reputation; company hosts preform brochure on own domain. Possible renaming to 'Alternicq Limited' needs MCA check. Pharma/ISO 15378 not verified. | Evidence is search-result titles/URLs only (WebFetch rate-limited, search budget exhausted in this session); pages not read. Company hosts a 'Preforms.pdf' and corporate presentations on its own domain. West-India plant locations (asked for in slice) NOT verified this session; HQ believed to be Bengaluru (prior knowledge, unverified) so region set India-Pan. Pharma grade/ISO 15378 not verified.</t>
  </si>
  <si>
    <t xml:space="preserve">https://manjushreeindia.com/wp-content/uploads/2024/10/Preforms.pdf
https://www.manjushreeindia.com/wp-content/uploads/2023/07/MTL-Corporate-Presentation.pdf
https://www.printweek.in/news/india-packaging-leader-manjushree-technopack-acquires-delhi-varahi-22700
https://petpla.net/?p=3756
https://packagingsouthasia.com/packaging-production/manjushree-technopack-commissions-new-plant-at-silvassa/
https://www.indiamart.com/manjushree-technopack-ltd/aboutus.html
https://altiusinvestech.com/blog/advent-internationals-3x-bagger-a-strategic-exit-from-manjushree-in-5-years/
https://en.wikipedia.org/wiki/Manjushree_Technopack
https://www.indiamart.com/manjushree-techno-pack-limited/profile.html
https://www.indiamart.com/manjushree-technopark-limited/
https://www.tradeindia.com/Seller-2683598-MANJUSHREE-TECHNOPACK-LTD-/
https://www.tradeindia.com/products/pet-bisleri-bottles-6089274.html
https://mysuruinfrahub.com/manjushree-technopack-limited-to-setup-a-plastic-packaging-plant-at-chamarajanagar/
https://www.indiainfoline.com/company/alternicq-ltd/summary
https://www.manjushreeindia.com/wp-content/uploads/2024/03/Manjushree-Corporate-Presentation.pdf
https://www.adventinternational.com/ideas/the-endless-life-cycle-of-plastic-manjushree-technopack/
https://sbnri.com/p/pre-ipo/Manjushree-Technopack-Ltd.-jxbE69gV</t>
  </si>
  <si>
    <t xml:space="preserve">PET plastic preforms incl. 'bottle preform 28mm PCO' (company product page)</t>
  </si>
  <si>
    <t xml:space="preserve">28 mm PCO bottle preform (per product-page URL/title); weights not captured</t>
  </si>
  <si>
    <t xml:space="preserve">beverage (not verified for pharma)</t>
  </si>
  <si>
    <t xml:space="preserve">Evidence is search-result titles/URLs only (WebFetch rate-limited and shared search budget exhausted this session); pages not read. Company's own product page exists for a 28 mm PCO preform. HQ/plants not verified this session.</t>
  </si>
  <si>
    <t xml:space="preserve">Bottles only</t>
  </si>
  <si>
    <t xml:space="preserve">Pharmaceutical PET Bottle (e.g. 40 ml pharma PET bottle)</t>
  </si>
  <si>
    <t xml:space="preserve">40 ml (from page title); neck finishes/colours not captured</t>
  </si>
  <si>
    <t xml:space="preserve">Thane, Maharashtra (per site title)</t>
  </si>
  <si>
    <t xml:space="preserve">Evidence is search-result titles/URLs only (WebFetch rate-limited, search budget exhausted in this session); pages not read. Site page title: 'Pharmaceutical PET Bottle - 40ml Pharma PET Bottle Manufacturer from Thane'. Link between shethpet.in and the registered entity Sheth PET Polymers Pvt Ltd (GlobalLinker) inferred from name, not confirmed. Pharma claims are company's own.</t>
  </si>
  <si>
    <t xml:space="preserve">PET containers/bottles (implied by name and listing surfaced for pharma PET bottle Vapi searches)</t>
  </si>
  <si>
    <t xml:space="preserve">Evidence is search-result titles/URLs only (WebFetch rate-limited, search budget exhausted in this session); pages not read. Only an IndianYellowPages directory title ('Megapet Containers Pvt Ltd Pardi, Vapi, Gujarat') seen; products, pharma suitability and manufacturing status unverified. 'Pvt Ltd' is from the directory, not MCA.</t>
  </si>
  <si>
    <t xml:space="preserve">Pharma PET bottles - Amber PET Bottle 60 mL</t>
  </si>
  <si>
    <t xml:space="preserve">60 mL amber PET, 25 mm neck (from page title)</t>
  </si>
  <si>
    <t xml:space="preserve">Evidence is search-result titles/URLs only (WebFetch rate-limited, search budget exhausted in this session); pages not read. Page title describes the firm as 'Trader - Retailer from Nashik' - not a manufacturer; useful only as a distribution source. Legal entity not verified.</t>
  </si>
  <si>
    <t xml:space="preserve">HDPE &amp; PET containers for nutraceuticals/supplements; PET cream jars and PP cream jars</t>
  </si>
  <si>
    <t xml:space="preserve">HDPE containers; PP cream jars</t>
  </si>
  <si>
    <t xml:space="preserve">nutraceuticals; supplements; pharma; cosmetics</t>
  </si>
  <si>
    <t xml:space="preserve">Evidence is search-result titles/URLs only (WebFetch rate-limited, search budget exhausted in this session); pages not read. Listed in PharmaSource directory and CPHI Online (CPHI exhibitor) - pharma-packaging focus. Surfaced for 'pharmaceutical PET bottles manufacturer Mumbai ISO 15378' but HQ/plant location and ISO 15378 NOT verified; region India-West assumed.</t>
  </si>
  <si>
    <t xml:space="preserve">PET bottles; PET plastic bottles; PET jars; round containers (IndiaMART storefront pages)</t>
  </si>
  <si>
    <t xml:space="preserve">pharma (search context only; not verified)</t>
  </si>
  <si>
    <t xml:space="preserve">Evidence is search-result titles/URLs only (WebFetch rate-limited and shared search budget exhausted this session); pages not read. Storefront ranked top for 'PET bottle manufacturer Hyderabad pharma syrup bottles' and 'Hyderabad ... amber PET bottle' searches, but its city is NOT verified; region India-South is provisional. | Evidence is search-result titles/URLs only (WebFetch rate-limited, search budget exhausted in this session); pages not read. IndiaMART storefront with a 'pet bottles' product page surfaced for pharma PET bottle Vapi searches; location, manufacturing status and pharma suitability NOT verified.</t>
  </si>
  <si>
    <t xml:space="preserve">Garment Packing PET Jars (IndiaMART storefront title)</t>
  </si>
  <si>
    <t xml:space="preserve">garment packaging (non-pharma)</t>
  </si>
  <si>
    <t xml:space="preserve">Evidence is search-result titles/URLs only (WebFetch rate-limited and shared search budget exhausted this session); pages not read. Surfaced in a Coimbatore PET-jar search; city NOT verified. Stated application is garment packing, so low relevance to pharma/food.</t>
  </si>
  <si>
    <t xml:space="preserve">PET jars / plastic containers (IndiaMART storefront 'plastic container' page)</t>
  </si>
  <si>
    <t xml:space="preserve">food; general packaging (not verified)</t>
  </si>
  <si>
    <t xml:space="preserve">Evidence is search-result titles/URLs only (WebFetch rate-limited and shared search budget exhausted this session); pages not read. Surfaced as top result for a Coimbatore PET-jar manufacturer search; city NOT verified.</t>
  </si>
  <si>
    <t xml:space="preserve">Plastic (reportedly PET) packaging; acquisition covered by PET trade press</t>
  </si>
  <si>
    <t xml:space="preserve">Acquired by Manjushree Technopack Ltd (Advent International-backed), Aug 2022 per petpla.net/PrintWeek</t>
  </si>
  <si>
    <t xml:space="preserve">Evidence is search-result titles/URLs only (WebFetch rate-limited, search budget exhausted in this session); pages not read. Known only via acquisition news headlines in PET-focused trade press (Petnology, PETplanet); product range, PET share, plant locations and legal suffix NOT verified. Region India-West assumed from caller's candidate list, not from a source. Now operates under Manjushree.</t>
  </si>
  <si>
    <t xml:space="preserve">https://www.printweek.in/news/manjushree-technopack-backed-by-advent-to-acquire-hitesh-plastics-56469
https://www.petnology.com/online/news-detail/manjushree-technopack-acquires-hitesh-plastics
https://petpla.net/2022/08/08/manjushree-technopack-acquires-hitesh-plastics/
https://packagingsouthasia.com/type-of-article/manjushree-technopack-plant/</t>
  </si>
  <si>
    <t xml:space="preserve">PET containers (Petainer) - plant at Bhiwandi</t>
  </si>
  <si>
    <t xml:space="preserve">Bhiwandi, Maharashtra (per Packaging South Asia archive headline)</t>
  </si>
  <si>
    <t xml:space="preserve">Evidence is search-result titles/URLs only (WebFetch rate-limited, search budget exhausted in this session); pages not read. Only an archived trade-press headline 'Petainer Innopac Packagings plant at Bhiwandi' seen; current operating status, ownership and product range NOT verified - may be historical.</t>
  </si>
  <si>
    <t xml:space="preserve">Preforms only</t>
  </si>
  <si>
    <t xml:space="preserve">PET preforms</t>
  </si>
  <si>
    <t xml:space="preserve">Evidence is search-result titles/URLs only (WebFetch rate-limited, search budget exhausted in this session); pages not read. Dial4Trade product listing 'PET preforms' and a PETplanet WikiPETia entry ('Ahmisa Industries Limited', spelling as shown). HQ believed to be Ahmedabad (prior knowledge, unverified). Pharma suitability not verified.</t>
  </si>
  <si>
    <t xml:space="preserve">PET preforms (B2B listing title 'trusted pet preform manufacturers in odisha harsh impex')</t>
  </si>
  <si>
    <t xml:space="preserve">The only evidence is a GlobalLinker B2B listing title, and the page could not be read. Legal entity, city, neck finishes and any pharma or food suitability are unverified.</t>
  </si>
  <si>
    <t xml:space="preserve">PET preforms (the company site has a 'preforms' page; its content was not read)</t>
  </si>
  <si>
    <t xml:space="preserve">Beverages (core business)</t>
  </si>
  <si>
    <t xml:space="preserve">beverage</t>
  </si>
  <si>
    <t xml:space="preserve">Outside this slice's regions (a lead for the West/Pan-India researcher). Found only via a URL on the company's own domain (parleagro.com/preforms). The page could not be read, so product specs, plant locations and the legal name are unverified. Mumbai HQ is not confirmed from a fetched page.</t>
  </si>
  <si>
    <t xml:space="preserve">PET preforms (surfaced in PET preform manufacturer search; IndiaMART profile)</t>
  </si>
  <si>
    <t xml:space="preserve">Evidence is search-result titles/URLs only (WebFetch rate-limited and shared search budget exhausted this session); pages not read. Surfaced in a Bengaluru PET-preform search; city and product range NOT verified.</t>
  </si>
  <si>
    <t xml:space="preserve">PET preforms (Dial4Trade listing 'pet preforms'; IndiaMART storefront)</t>
  </si>
  <si>
    <t xml:space="preserve">Evidence is search-result titles/URLs only (WebFetch rate-limited and shared search budget exhausted this session); pages not read. Surfaced in a search for PET preform manufacturers in Bengaluru, Karnataka; HQ city NOT verified, region set India-South provisionally. Legal-entity form 'Private Limited' appears in ExportHub listing title.</t>
  </si>
  <si>
    <t xml:space="preserve">PET preforms (Dial4Trade listing titled 'pet performs')</t>
  </si>
  <si>
    <t xml:space="preserve">Evidence is search-result titles/URLs only (WebFetch rate-limited and shared search budget exhausted this session); pages not read. Single B2B listing; surfaced in a Chennai 25/28 mm PCO preform search.</t>
  </si>
  <si>
    <t xml:space="preserve">Caps &amp; Closures — 19 supplier lines. Materials (PP/HDPE/aluminium) recorded only where a source stated them.</t>
  </si>
  <si>
    <t xml:space="preserve">Child-resistant closures (CRC)</t>
  </si>
  <si>
    <t xml:space="preserve">Child-resistant pharmaceutical packaging promoted at CPHI India</t>
  </si>
  <si>
    <t xml:space="preserve">Pharma glass and plastic primary containers</t>
  </si>
  <si>
    <t xml:space="preserve">Company news ties its child-resistant packaging to the Indian market (CPHI India); Indian legal entity and plant not verified this session.</t>
  </si>
  <si>
    <t xml:space="preserve">Closure solutions for OTC pharmaceuticals ('Protect products from unauthorized access' landing page); closure solutions for home care and pharma supplies</t>
  </si>
  <si>
    <t xml:space="preserve">Materials, neck finishes and features not verified (pages not fetched). Bericap is generally a PP/HDPE closure maker (not verified this session).</t>
  </si>
  <si>
    <t xml:space="preserve">OTC pharma; home care; food; beverage</t>
  </si>
  <si>
    <t xml:space="preserve">Verification limited: page content could not be fetched this session (WebFetch rate-limited); record rests on search-result titles/URLs only. Company landing page explicitly targets OTC pharmaceuticals. Compliance not verified.</t>
  </si>
  <si>
    <t xml:space="preserve">Two-piece Child-resistant Closures for Pharmaceutical and Healthcare Packaging (product items 13191479, 13567185); PET bottle and closure solutions for child-safe and tamper-evident medicine packaging; new child-resistant range (Berry Healthcare, 2023)</t>
  </si>
  <si>
    <t xml:space="preserve">Two-piece CRC design (per product page titles); tamper-evident options; sold alongside PET and HDPE pharma bottles (e.g. 50 ml 1797 HDPE item). Closure material, neck finishes and liner options not verified.</t>
  </si>
  <si>
    <t xml:space="preserve">HDPE and PET pharma bottles</t>
  </si>
  <si>
    <t xml:space="preserve">pharma; healthcare; OTC medicines</t>
  </si>
  <si>
    <t xml:space="preserve">Verification limited: page content could not be fetched this session (WebFetch rate-limited); record rests on search-result titles/URLs only. Company product-page titles explicitly say 'for Pharmaceutical and Healthcare Packaging'. Compliance (DMF/ISO 15378) not verified.</t>
  </si>
  <si>
    <t xml:space="preserve">Defender-Lok child-resistant closure (CRC) product line; child-resistant closure platform for nutraceuticals</t>
  </si>
  <si>
    <t xml:space="preserve">Not verified.</t>
  </si>
  <si>
    <t xml:space="preserve">Beverage closures (CSI core business, not verified this session)</t>
  </si>
  <si>
    <t xml:space="preserve">nutraceuticals; consumer health</t>
  </si>
  <si>
    <t xml:space="preserve">Verification limited: page content could not be fetched this session (WebFetch rate-limited); record rests on search-result titles/URLs only. Trade press confirms CRC launch aimed at nutraceuticals. Pharma compliance not verified.</t>
  </si>
  <si>
    <t xml:space="preserve">Child-resistant closures</t>
  </si>
  <si>
    <t xml:space="preserve">pharma; healthcare</t>
  </si>
  <si>
    <t xml:space="preserve">Verification limited: page content could not be fetched this session (WebFetch rate-limited); record rests on search-result titles/URLs only. Trade press (Healthcare Packaging / Packaging World) item 'Comar: Child-resistant closures'; listed in Qualifyze supplier directory. HQ not verified.</t>
  </si>
  <si>
    <t xml:space="preserve">PharmaSafe child-resistant closure; pharma closures exhibited at Pharmapack Europe 2016 and CPhI 2015</t>
  </si>
  <si>
    <t xml:space="preserve">Verification limited: page content could not be fetched this session (WebFetch rate-limited); record rests on search-result titles/URLs only. Trade press (Manufacturing Chemist, Healthcare Packaging, PharmTech) reports GCS pharma closure launches/exhibits. HQ country and current ownership not verified this session.</t>
  </si>
  <si>
    <t xml:space="preserve">Child-resistant / senior-friendly closure technologies (Aptar Pharma)</t>
  </si>
  <si>
    <t xml:space="preserve">Not verified (page could not be fetched).</t>
  </si>
  <si>
    <t xml:space="preserve">Verification limited: page content could not be fetched this session (WebFetch rate-limited); record rests on search-result titles/URLs only. Aptar Pharma technology page URL is for child-resistant/senior-friendly closures. Materials, neck finishes and compliance not verified.</t>
  </si>
  <si>
    <t xml:space="preserve">Child-resistant closures (healthcare packaging range, EU)</t>
  </si>
  <si>
    <t xml:space="preserve">healthcare; pharma</t>
  </si>
  <si>
    <t xml:space="preserve">Verification limited: page content could not be fetched this session (WebFetch rate-limited); record rests on search-result titles/URLs only. Company's EU site has a healthcare 'child-resistant closures' range page; distributor, not manufacturer.</t>
  </si>
  <si>
    <t xml:space="preserve">Pharmaceutical plastic bottles and closures (supplier listings)</t>
  </si>
  <si>
    <t xml:space="preserve">HDPE/PET pharma bottles</t>
  </si>
  <si>
    <t xml:space="preserve">pharma; nutraceutical</t>
  </si>
  <si>
    <t xml:space="preserve">Verification limited: page content could not be fetched this session (WebFetch rate-limited); record rests on search-result titles/URLs only. Legal name from USPTO trademark owner listing (Justia). Closure range not confirmed from company site this session.</t>
  </si>
  <si>
    <t xml:space="preserve">Child-safety / child-resistant pharma packaging; packaging designs launched at CPhI Barcelona</t>
  </si>
  <si>
    <t xml:space="preserve">Verification limited: page content could not be fetched this session (WebFetch rate-limited); record rests on search-result titles/URLs only. Pharmaceutical-Technology.com contractor press releases on Origin child-safety packaging. Whether Origin manufactures closures itself is not verified.</t>
  </si>
  <si>
    <t xml:space="preserve">Dispensing closures</t>
  </si>
  <si>
    <t xml:space="preserve">Pharma drug-delivery/dispensing systems; Mumbai operations expanded with local production of pharma inhalation technology</t>
  </si>
  <si>
    <t xml:space="preserve">India SKU-level closure specs not verified this session</t>
  </si>
  <si>
    <t xml:space="preserve">Inhalation devices, nasal spray pumps (dispensing systems rather than simple caps)</t>
  </si>
  <si>
    <t xml:space="preserve">Mumbai region, Maharashtra (expanded operations per trade press)</t>
  </si>
  <si>
    <t xml:space="preserve">Pharma-focused dispensing systems; relevance to ORS/oral-liquid screw caps not verified. Legal name taken from an IndiaMART profile title only (not MCA-verified).</t>
  </si>
  <si>
    <t xml:space="preserve">Dispensing Closures Catalogue (2025, 2026 editions); Closures Product Guide</t>
  </si>
  <si>
    <t xml:space="preserve">Not verified (catalogue PDFs not opened).</t>
  </si>
  <si>
    <t xml:space="preserve">personal care; home care; food; healthcare (not verified)</t>
  </si>
  <si>
    <t xml:space="preserve">Verification limited: page content could not be fetched this session (WebFetch rate-limited); record rests on search-result titles/URLs only. Company-hosted closure catalogues exist; pharma suitability not verified.</t>
  </si>
  <si>
    <t xml:space="preserve">Multiple closure types</t>
  </si>
  <si>
    <t xml:space="preserve">Plastic closures (BERICAP global range, e.g. HC EV 28/27 tamper-evident cap for PCO 1881 necks); India SKU list not verified</t>
  </si>
  <si>
    <t xml:space="preserve">Global range includes HC EV 28/27 for PCO 1881 28 mm PET necks (tamper-evident). India-specific SKU list not verified this session.</t>
  </si>
  <si>
    <t xml:space="preserve">India plant (location not verified this session; CIN registered with RoC Pune)</t>
  </si>
  <si>
    <t xml:space="preserve">Global closure maker; product page is the global catalogue, not India-specific. Pharma suitability not verified. CIN U25202PN2001PTC140929 per InstaFinancials.</t>
  </si>
  <si>
    <t xml:space="preserve">Caps &amp; closures (company product brochure 'Caps-Closures'); PET preforms</t>
  </si>
  <si>
    <t xml:space="preserve">Company publishes a dedicated caps &amp; closures brochure; neck sizes/materials not extracted this session (fetch refused)</t>
  </si>
  <si>
    <t xml:space="preserve">PET preforms, rigid plastic packaging</t>
  </si>
  <si>
    <t xml:space="preserve">Multiple Indian plants (list not captured this session); includes closures capacity acquired with Hitesh Plastics (2022)</t>
  </si>
  <si>
    <t xml:space="preserve">Private; backed by Advent International; acquired Hitesh Plastics (caps maker) 2022 and Oricon Enterprises' plastics packaging business</t>
  </si>
  <si>
    <t xml:space="preserve">Company site hosts a dedicated 'Caps-Closures' brochure, but its contents could not be read this session (fetch rate-limited); neck sizes, materials and pharma suitability not verified.</t>
  </si>
  <si>
    <t xml:space="preserve">https://manjushreeindia.com/wp-content/uploads/2024/10/Caps-Closures.pdf
https://www.manjushreeindia.com/wp-content/uploads/2024/03/Manjushree-Corporate-Presentation.pdf
https://news.ventureintelligence.com/ma/manjushree-technopack-to-acquire-caps-maker-hitesh-plastics
https://petpla.net/2022/08/08/manjushree-technopack-acquires-hitesh-plastics/</t>
  </si>
  <si>
    <t xml:space="preserve">Pharma closures (Guala Closures Pharma page; entered pharmaceutical closures market via KWK acquisition, Oct 2025; exhibited with KWK at Pharmapack); aluminium closures for spirits/wine</t>
  </si>
  <si>
    <t xml:space="preserve">Pharma closure range from KWK is plastic (per Il Giornale d'Italia headline). Aluminium ROPP/pharma specifics not verified.</t>
  </si>
  <si>
    <t xml:space="preserve">pharma; spirits; wine; beverage</t>
  </si>
  <si>
    <t xml:space="preserve">Verification limited: page content could not be fetched this session (WebFetch rate-limited); record rests on search-result titles/URLs only. Legal name 'Guala Closures S.p.A.' per Wolf Theiss deal note. Has a dedicated pharma page and acquired pharma closure maker KWK (Austria).</t>
  </si>
  <si>
    <t xml:space="preserve">Plastic closures for the pharmaceutical sector</t>
  </si>
  <si>
    <t xml:space="preserve">Plastic pharma closures (per press headlines); specific types/materials not verified.</t>
  </si>
  <si>
    <t xml:space="preserve">Verification limited: page content could not be fetched this session (WebFetch rate-limited); record rests on search-result titles/URLs only. Described in press as a leader in plastic closures for the pharmaceutical sector.</t>
  </si>
  <si>
    <t xml:space="preserve">Plastic caps &amp; closures (described as 'caps maker' in M&amp;A coverage)</t>
  </si>
  <si>
    <t xml:space="preserve">Acquired by Manjushree Technopack (Advent International-backed), 2022</t>
  </si>
  <si>
    <t xml:space="preserve">Now part of Manjushree; source the closures through Manjushree. Product range and plant locations not verified this session.</t>
  </si>
  <si>
    <t xml:space="preserve">https://news.ventureintelligence.com/ma/manjushree-technopack-to-acquire-caps-maker-hitesh-plastics
https://www.printweek.in/News/manjushree-technopack-backed-by-advent-to-acquire-hitesh-plastics-56469
https://www.petnology.com/online/news-detail/manjushree-technopack-acquires-hitesh-plastics</t>
  </si>
  <si>
    <t xml:space="preserve">ROPP aluminium caps</t>
  </si>
  <si>
    <t xml:space="preserve">Aluminium ROPP caps</t>
  </si>
  <si>
    <t xml:space="preserve">Aluminium ROPP</t>
  </si>
  <si>
    <t xml:space="preserve">Listed on a pharma-technology product portal; manufacturer vs trader status not verified.</t>
  </si>
  <si>
    <t xml:space="preserve">Liners &amp; induction seals</t>
  </si>
  <si>
    <t xml:space="preserve">Induction seal closure liners incl. Luxe Seal two-piece embossed induction seal liners; pouch and lidding structures for medical device and pharma</t>
  </si>
  <si>
    <t xml:space="preserve">Two-piece (induction foil seal + secondary backing) embossed liners; exact laminate structures not verified.</t>
  </si>
  <si>
    <t xml:space="preserve">pharma; healthcare; food; personal care</t>
  </si>
  <si>
    <t xml:space="preserve">Verification limited: page content could not be fetched this session (WebFetch rate-limited); record rests on search-result titles/URLs only. Company's own news pages confirm induction seal liners and pharma lidding structures.</t>
  </si>
  <si>
    <t xml:space="preserve">BOPET Base Film — 7 supplier lines. Base-film makers, metallizers and film distributors; laminate converters are on their own sheet.</t>
  </si>
  <si>
    <t xml:space="preserve">BOPET base film manufacturer</t>
  </si>
  <si>
    <t xml:space="preserve">BOPET (polyester) film; new BOPET film plant in India announced</t>
  </si>
  <si>
    <t xml:space="preserve">Not verified this run</t>
  </si>
  <si>
    <t xml:space="preserve">BOPP, CPP (group also runs these - not verified this run)</t>
  </si>
  <si>
    <t xml:space="preserve">flexible packaging (food) - general; not verified for pharma</t>
  </si>
  <si>
    <t xml:space="preserve">India (new BOPET plant announced); overseas operations referenced in 2025 global-expansion filing - locations not verified this run</t>
  </si>
  <si>
    <t xml:space="preserve">Company/product pages could not be fetched during this run (proxy HTTP 429 rate-limit); record built from search-result titles/URLs only - verify grades and food-contact status directly.</t>
  </si>
  <si>
    <t xml:space="preserve">Polyester films (focus on value-added: sun-control film, paint protection film, specialty/industrial polyester film)</t>
  </si>
  <si>
    <t xml:space="preserve">Packaging-grade polyester not confirmed this run - business now skewed to specialty/industrial films</t>
  </si>
  <si>
    <t xml:space="preserve">Sun control film; paint protection film (PPF)</t>
  </si>
  <si>
    <t xml:space="preserve">industrial/specialty; packaging grades unverified</t>
  </si>
  <si>
    <t xml:space="preserve">Waluj, Chhatrapati Sambhajinagar, Maharashtra</t>
  </si>
  <si>
    <t xml:space="preserve">Company/product pages could not be fetched during this run (proxy HTTP 429 rate-limit); record built from search-result titles/URLs only - verify grades and food-contact status directly. Check whether thin packaging-grade BOPET is still offered.</t>
  </si>
  <si>
    <t xml:space="preserve">BOPET film (packaging films business); BOPP film</t>
  </si>
  <si>
    <t xml:space="preserve">BOPP film; technical textiles; chemicals</t>
  </si>
  <si>
    <t xml:space="preserve">flexible packaging</t>
  </si>
  <si>
    <t xml:space="preserve">Indore, Madhya Pradesh (BOPET project per IFC disclosure); BOPET plants in Thailand and Hungary (Plasteurope)</t>
  </si>
  <si>
    <t xml:space="preserve">Company/product pages could not be fetched during this run (proxy HTTP 429 rate-limit); record built from search-result titles/URLs only - verify grades and food-contact status directly. IFC disclosure confirms Indore BOPET project.</t>
  </si>
  <si>
    <t xml:space="preserve">Polyester (BOPET) films; specialty polymers</t>
  </si>
  <si>
    <t xml:space="preserve">BOPET film (with BOPP) - per CRISIL rating rationale series</t>
  </si>
  <si>
    <t xml:space="preserve">BOPP film</t>
  </si>
  <si>
    <t xml:space="preserve">BOPET film (SRF Hungary plant)</t>
  </si>
  <si>
    <t xml:space="preserve">Company/product pages could not be fetched during this run (proxy HTTP 429 rate-limit); record built from search-result titles/URLs only - verify grades and food-contact status directly. Plasteurope headline: 'Plants for BOPET films in operation in Hungary and Thailand'.</t>
  </si>
  <si>
    <t xml:space="preserve">BOPET film (SRF Thailand plant)</t>
  </si>
  <si>
    <t xml:space="preserve">Laminate Converters — 4 supplier lines. Printed multilayer laminates, sachets, pouches and rollstock; 'PET use not confirmed' is flagged where the source did not state PET.</t>
  </si>
  <si>
    <t xml:space="preserve">Pharma laminate converter (sachet/strip)</t>
  </si>
  <si>
    <t xml:space="preserve">Flexible packaging laminates and pouches; pharma packaging solutions showcased at CPHI/P-MEC 2019 including stick-pack packaging (trade-press headlines)</t>
  </si>
  <si>
    <t xml:space="preserve">Laminate structures not verified in this pass (company site blocked in this session)</t>
  </si>
  <si>
    <t xml:space="preserve">Packaging films (BOPET/BOPP base films) per 'Global Leader in Flexible Packaging Films' trade-press headline; packaging machines (stick-pack machine launch, 2019)</t>
  </si>
  <si>
    <t xml:space="preserve">pharma; food; FMCG</t>
  </si>
  <si>
    <t xml:space="preserve">Noida, Uttar Pradesh (HQ/converting); other plant locations not verified in this pass</t>
  </si>
  <si>
    <t xml:space="preserve">Trade-press headlines (PrintWeek India, Packaging South Asia) report UFlex showcasing pharma packaging solutions and a stick-pack machine at CPHI &amp; P-MEC India 2019. PET use in converted laminates not confirmed from a fetched page in this pass (company also makes films). Structures/certifications not verified.</t>
  </si>
  <si>
    <t xml:space="preserve">Laminate/pouch/sachet converter</t>
  </si>
  <si>
    <t xml:space="preserve">Flexible packaging (production capacity expansion in India per company newsroom headline)</t>
  </si>
  <si>
    <t xml:space="preserve">Ahmedabad, Gujarat (Rs 100-crore plant investment / capacity expansion per PrintWeek India and Packaging South Asia headlines)</t>
  </si>
  <si>
    <t xml:space="preserve">PET use not confirmed. Coverage of the India expansion by DCAT (pharma supply-chain body) and by confectionery/beverage trade press suggests pharma and food relevance, but the Indian plant's products, laminate structures and certifications were not verified (pages rate-limited). Search for 'Parikh Packaging Ahmedabad' returned these Constantia Ahmedabad items plus a Packaging Gateway 'Parikh Packaging facility' project page; any Parikh-Constantia link was not verified in this pass.</t>
  </si>
  <si>
    <t xml:space="preserve">Flexible packaging (described as 'a leading flexible packaging converter for FMCG and food brands' in Plastemart headline)</t>
  </si>
  <si>
    <t xml:space="preserve">FMCG; food</t>
  </si>
  <si>
    <t xml:space="preserve">PET use not confirmed. Laminate structures, pharma/ORS sachet capability, plant list and certifications not verified: company pages could not be fetched (proxy rate-limit), so evidence is search-result titles/URLs only. Former name Huhtamaki PPL (Wikipedia result title). HQ city taken from task brief, not re-verified. Legal name per trade-press headline and listing-data title, not checked against filing.</t>
  </si>
  <si>
    <t xml:space="preserve">Flexible packaging (Indian flexible packaging plant acquisition and new Bharuch plant per trade-press headlines)</t>
  </si>
  <si>
    <t xml:space="preserve">Bharuch, Gujarat (described as Amcor India's seventh plant, per Packaging South Asia headline); acquired flexible-packaging plant of Phoenix Flexibles (location not verified)</t>
  </si>
  <si>
    <t xml:space="preserve">PET use not confirmed. Amcor India's laminate structures, pharma sachet capability and certifications not verified (pages rate-limited); evidence is trade-press headlines only. Only Bharuch (Gujarat) is evidenced among the plants; the other plant locations were not verified.</t>
  </si>
  <si>
    <t xml:space="preserve">Material category</t>
  </si>
  <si>
    <t xml:space="preserve">Polyester/BOPET Film &amp; Laminates</t>
  </si>
  <si>
    <t xml:space="preserve">Company</t>
  </si>
  <si>
    <t xml:space="preserve">Source URL</t>
  </si>
  <si>
    <t xml:space="preserve">https://www.dial4trade.com/ahimsa-industries/pet-preforms-pdid-744484.htm</t>
  </si>
  <si>
    <t xml:space="preserve">https://petpla.net/wikipetia/index.php/Ahmisa_Industries_Limited</t>
  </si>
  <si>
    <t xml:space="preserve">https://packagingsouthasia.com/packaging-production/amcor-india-opens-seventh-plant-in-india-at-bharuch</t>
  </si>
  <si>
    <t xml:space="preserve">https://www.packaging-gateway.com/news/amcor-acquire-phoenix-flexibles/</t>
  </si>
  <si>
    <t xml:space="preserve">https://esmmagazine.com/packaging-design/amcor-acquires-flexible-packaging-plant-in-india-247427</t>
  </si>
  <si>
    <t xml:space="preserve">https://www.petnology.com/online/news-detail/amcor-announces-acquisition-of-scalable-flexible-packaging-plant-in-high-growth-indian-market</t>
  </si>
  <si>
    <t xml:space="preserve">https://m.indiamart.com/aptar/aboutus.html</t>
  </si>
  <si>
    <t xml:space="preserve">https://www.indianpharmapost.com/news/aptar-expands-mumbai-operations-as-it-adds-local-production-of-pharma-inhalation-tech-22137</t>
  </si>
  <si>
    <t xml:space="preserve">https://www.packaginginsights.com/news/aptar-pharma-expands-presence-in-india.html</t>
  </si>
  <si>
    <t xml:space="preserve">https://www.tilleydistributionproducts.com/products/clintose-dextrose-a</t>
  </si>
  <si>
    <t xml:space="preserve">https://tilleydistributionproducts.com/products/clintose-dextrose-vf</t>
  </si>
  <si>
    <t xml:space="preserve">https://knowde.com/stores/adm/products/adm-dextrose-monohydrate</t>
  </si>
  <si>
    <t xml:space="preserve">https://b2b-ca.vwr.com/store/product/en/4541456/dextrose-anhydrous-97-5-102-0-by-anhydrous-basis-usp-multi-compendial-j-t-baker</t>
  </si>
  <si>
    <t xml:space="preserve">https://b2b-us.vwr.com/store/product/4541456/null</t>
  </si>
  <si>
    <t xml:space="preserve">https://b2b-cn.vwr.com/store/product/8030185/null</t>
  </si>
  <si>
    <t xml:space="preserve">https://www.avantorsciences.com/pt/en/search/USLP070318BIOP00008</t>
  </si>
  <si>
    <t xml:space="preserve">https://bericap.com/home-care-pharma-supplies/landingpage-otc-pharmaceuticals/</t>
  </si>
  <si>
    <t xml:space="preserve">https://www.packaging-gateway.com/products/bericap-closure-solutions-home-care-pharma-supplies/</t>
  </si>
  <si>
    <t xml:space="preserve">https://packagingeurope.com/bericap-presents-closure-solutions-at-packaging-innovations/5782.article</t>
  </si>
  <si>
    <t xml:space="preserve">https://www.InstaFinancials.com/company/bericap-india-private-limited/U25202PN2001PTC140929</t>
  </si>
  <si>
    <t xml:space="preserve">https://www.plasticsnews.com/article/20180828/NEWS/180829902/bericap-doubling-india-plant/</t>
  </si>
  <si>
    <t xml:space="preserve">https://www.plastemart.com/news-plastics-information/bericap-to-acquire-essel-propack´s-share-in-indian-jv/8930</t>
  </si>
  <si>
    <t xml:space="preserve">https://bericap.com/product/hc-ev-28-27-pco-1881/</t>
  </si>
  <si>
    <t xml:space="preserve">https://www.berryglobal.com/en/product/product-item/13191479</t>
  </si>
  <si>
    <t xml:space="preserve">https://www.berryglobal.com/en/product/product-item/13567185</t>
  </si>
  <si>
    <t xml:space="preserve">https://packagingeurope.com/news/berry-global-offers-range-of-pet-bottle-and-closure-solutions-for-child-safe-and-tamper-evident-medicine-packaging/9429.article</t>
  </si>
  <si>
    <t xml:space="preserve">https://packagingscotland.com/2023/02/berry-group-healthcare-launches-comprehensive-new-child-resistant-range/</t>
  </si>
  <si>
    <t xml:space="preserve">https://www.sec.gov/Archives/edgar/data/0001378992/000137899218000039/form10k.htm</t>
  </si>
  <si>
    <t xml:space="preserve">https://www.biesterfeld.com/en/gb/product/dextrose-glucose</t>
  </si>
  <si>
    <t xml:space="preserve">https://www.biesterfeld.com/en/at/product/dextrose-glucose/</t>
  </si>
  <si>
    <t xml:space="preserve">https://pharmaoffer.com/api-excipient-supplier/excipients/glucose-monohydrate/cep</t>
  </si>
  <si>
    <t xml:space="preserve">https://pharmaoffer.com/api-excipient-supplier/glucose-monohydrate/cep</t>
  </si>
  <si>
    <t xml:space="preserve">https://www.cargill.com/products/pharmaceutical/products/glucose-monohydrates/</t>
  </si>
  <si>
    <t xml:space="preserve">https://pharmacompass.com/ndc-api/cargill-slu</t>
  </si>
  <si>
    <t xml:space="preserve">https://www.cargill.com/food-bev/emea/c-dex-dextrose</t>
  </si>
  <si>
    <t xml:space="preserve">https://www.cargill.com/food-bev/ap/dextrose</t>
  </si>
  <si>
    <t xml:space="preserve">https://www.packaginginsights.com/news/chemco-pet-bottle-recycling-india.html</t>
  </si>
  <si>
    <t xml:space="preserve">https://www.plastemart.com/news-plastics-information/chemco-group-pioneering-circularity-with-in-house-rpet-production/75112</t>
  </si>
  <si>
    <t xml:space="preserve">https://www.industrialautomationindia.in/news/chemco-group-food-grade-rpet-facility-sanand</t>
  </si>
  <si>
    <t xml:space="preserve">https://themachinemaker.com/news/chemco-group-launches-%e2%82%b9125-crore-food-grade-rpet-bottle-recycling-plant-in-gujarat/</t>
  </si>
  <si>
    <t xml:space="preserve">https://packagingsouthasia.com/type-of-article/industry-news/chemco-gets-fssai-nod/</t>
  </si>
  <si>
    <t xml:space="preserve">https://m.indiamart.com/chemcoplastic</t>
  </si>
  <si>
    <t xml:space="preserve">https://www.packaginginsights.com/news/closure-systems-international-child-resistant-closure.html</t>
  </si>
  <si>
    <t xml:space="preserve">https://www.silicon.co.uk/press-release/closure-systems-international-launches-defender-lok-crc-product-line</t>
  </si>
  <si>
    <t xml:space="preserve">https://finance.yahoo.com/news/closure-systems-international-introduces-child-142709276.html</t>
  </si>
  <si>
    <t xml:space="preserve">https://www.healthcarepackaging.com/industries/pharmaceuticals/press-release/13287374/comar-childresistant-closures</t>
  </si>
  <si>
    <t xml:space="preserve">https://app.qualifyze.com/directory/supplier/comar-71f904da</t>
  </si>
  <si>
    <t xml:space="preserve">https://directory.designnews.com/comar-inc-comp225738.html</t>
  </si>
  <si>
    <t xml:space="preserve">https://cflex.com/newsroom/constantia-flexibles-to-expand-production-capacity-in-india</t>
  </si>
  <si>
    <t xml:space="preserve">https://www.printweek.in/News/constantia-flexibles-invest-rs-100-crore-ahmedabad-plant-28024</t>
  </si>
  <si>
    <t xml:space="preserve">https://packagingsouthasia.com/packaging-production/constantia-flexibles-to-invest-inr-100-crore-in-a-new-india-plant/</t>
  </si>
  <si>
    <t xml:space="preserve">https://www.dcatvci.org/?p=6358</t>
  </si>
  <si>
    <t xml:space="preserve">https://www.packaging-gateway.com/news/constantia-flexibles-expand-production-capacity-indian-facility/</t>
  </si>
  <si>
    <t xml:space="preserve">https://www.packaging-gateway.com/projects/parikhpackagingfacil/</t>
  </si>
  <si>
    <t xml:space="preserve">https://pharmacompass.com/us-drug-master-files-dmfs/anhydrous-dextrose</t>
  </si>
  <si>
    <t xml:space="preserve">https://www.pharmacompass.com/about/cspc-shengxue-glucose</t>
  </si>
  <si>
    <t xml:space="preserve">https://doc.irasia.com/listco/hk/cspc/annual/2018/screspress.pdf</t>
  </si>
  <si>
    <t xml:space="preserve">https://www.erema.com/en/public-relations-news/dalmia-polypro-to-install-erema-systems-for-pet-und-fuer-po-recycling--3233/</t>
  </si>
  <si>
    <t xml:space="preserve">https://packagingsouthasia.com/application/dalmia-polypros-food-grade/</t>
  </si>
  <si>
    <t xml:space="preserve">https://www.outlookbusiness.com/news/dalmia-polypro-to-raise-usd-30-mn-from-us-dfc-to-build-facility-in-maharashtra</t>
  </si>
  <si>
    <t xml:space="preserve">https://www.circulatecapital.com/wp-content/uploads/2022/12/DalmiaPolyproIndustriesPL-x-CC_-Press-Release_2020-12-10-.pdf</t>
  </si>
  <si>
    <t xml:space="preserve">https://www.packaging-gateway.com/news/slmg-dalmia-india-plant/</t>
  </si>
  <si>
    <t xml:space="preserve">https://trademarks.justia.com/owners/drug-plastics-glass-company-inc-135913</t>
  </si>
  <si>
    <t xml:space="preserve">https://www.pharmaceutical-tech.com/suppliers/drug-plastics-glass-co-inc</t>
  </si>
  <si>
    <t xml:space="preserve">https://niemagazine.com/resources/sourcebook/6455/drug-plastics-glass-co-inc/</t>
  </si>
  <si>
    <t xml:space="preserve">https://eicl.in/?p=284</t>
  </si>
  <si>
    <t xml:space="preserve">https://eicl.in/?p=572</t>
  </si>
  <si>
    <t xml:space="preserve">https://www.crisil.com/mnt/winshare/Ratings/RatingList/RatingDocs/EsterIndustriesLimited_July 22_ 2025_RR_374336.html</t>
  </si>
  <si>
    <t xml:space="preserve">https://www.crisil.com/mnt/winshare/Ratings/RatingList/RatingDocs/EsterIndustriesLimited_May 13_ 2024_RR_343559.html</t>
  </si>
  <si>
    <t xml:space="preserve">https://nsearchives.nseindia.com/corporate/GANECOS_03092025232921_annual_report.pdf</t>
  </si>
  <si>
    <t xml:space="preserve">https://recyclinginside.com/news/bottle-to-fibre-and-bottle-to-bottle-two-starlinger-pet-recycling-lines-for-indian-recycling-brand-go-rewise/</t>
  </si>
  <si>
    <t xml:space="preserve">https://www.wasterecyclingmag.com/news/plastic-recycling/bottle-to-fibre-and-bottle-to-bottle-two-starlinger-pet-recycling-lines-for-indian-recycling-brand-go-rewise</t>
  </si>
  <si>
    <t xml:space="preserve">https://www.innovationintextiles.com/trailblazing-pet-recycling-in-india</t>
  </si>
  <si>
    <t xml:space="preserve">https://machinist.in/2025/09/garware-hi-tech-films-starts-commercial-production-of-new-ppf-line-at-waluj-facility/</t>
  </si>
  <si>
    <t xml:space="preserve">https://www.garwarehitechfilms.com/wp-content/uploads/2023/03/Investors-Presentation-May-2021.pdf.pdf</t>
  </si>
  <si>
    <t xml:space="preserve">https://manufacturingchemist.com/global-closure-systems-gcs-launches-pharmasafe-child-resistant-closure-91334</t>
  </si>
  <si>
    <t xml:space="preserve">https://www.healthcarepackaging.com/home/press-release/13290585/global-closure-systems-exhibits-at-pharmapack-europe-2016</t>
  </si>
  <si>
    <t xml:space="preserve">https://pharmtech.com/view/global-closure-systems-exhibits-cphi-2015</t>
  </si>
  <si>
    <t xml:space="preserve">https://www.plasteurope.com/news/GLOBAL_CLOSURE_SYSTEMS_t228478</t>
  </si>
  <si>
    <t xml:space="preserve">https://www.gualaclosures.com/pharma</t>
  </si>
  <si>
    <t xml:space="preserve">https://www.gualaclosures.com/sites/default/files/files/allegati/2025-10/PR%20-%20GUALA%20CLOSURES%20ENTERS%20INTO%20PHARMACEUTICAL%20CLOSURES%20MARKET%20_%20Final.pdf</t>
  </si>
  <si>
    <t xml:space="preserve">https://www.gualaclosures.com/guala-closures-pharmapack-kwk-strengthening-its-presence-pharmaceutical-sector</t>
  </si>
  <si>
    <t xml:space="preserve">https://www.wolftheiss.com/insights/wolf-theiss-advises-guala-closures-s-p-a-on-the-acquisition-of-austrian-packaging-company-kunststoffwerk-kremsmunster-gmbh/</t>
  </si>
  <si>
    <t xml:space="preserve">https://www.ambujagroup.com/starch-derivatives</t>
  </si>
  <si>
    <t xml:space="preserve">https://www.ambujagroup.com/dextrose-anhydrous-powder</t>
  </si>
  <si>
    <t xml:space="preserve">https://www.ambujagroup.com/dextrose-monohydrate-powder</t>
  </si>
  <si>
    <t xml:space="preserve">https://www.wrightresearch.in/stocks/stock/GAEL/</t>
  </si>
  <si>
    <t xml:space="preserve">https://nsearchives.nseindia.com/corporate/GAEL_26032025100331_Commercial_Production_1200TPD_Maize.pdf</t>
  </si>
  <si>
    <t xml:space="preserve">https://www.careratings.com/upload/CompanyFiles/PR/202512121257_Gujarat_Ambuja_Exports_Limited.pdf</t>
  </si>
  <si>
    <t xml:space="preserve">https://www.indiainfoline.com/company/gulshan-polyols-ltd/summary</t>
  </si>
  <si>
    <t xml:space="preserve">https://www.gurufocus.com/stock/BOM:532457/transcripts/8616616</t>
  </si>
  <si>
    <t xml:space="preserve">https://www.plindia.com/stocks/gulshan-polyols-ltd/</t>
  </si>
  <si>
    <t xml:space="preserve">https://www.globallinker.com/products/trusted-pet-preform-manufacturers-in-odisha-harsh-impex-best-price-8457231</t>
  </si>
  <si>
    <t xml:space="preserve">https://www.globallinker.com/seller/harsh-impex</t>
  </si>
  <si>
    <t xml:space="preserve">https://yourstory.com/companies/harsh-impex</t>
  </si>
  <si>
    <t xml:space="preserve">https://news.ventureintelligence.com/ma/manjushree-technopack-to-acquire-caps-maker-hitesh-plastics</t>
  </si>
  <si>
    <t xml:space="preserve">https://www.printweek.in/News/manjushree-technopack-backed-by-advent-to-acquire-hitesh-plastics-56469</t>
  </si>
  <si>
    <t xml:space="preserve">https://www.petnology.com/online/news-detail/manjushree-technopack-acquires-hitesh-plastics</t>
  </si>
  <si>
    <t xml:space="preserve">https://www.printweek.in/news/manjushree-technopack-backed-by-advent-to-acquire-hitesh-plastics-56469</t>
  </si>
  <si>
    <t xml:space="preserve">https://petpla.net/2022/08/08/manjushree-technopack-acquires-hitesh-plastics/</t>
  </si>
  <si>
    <t xml:space="preserve">https://packagingsouthasia.com/type-of-article/manjushree-technopack-plant/</t>
  </si>
  <si>
    <t xml:space="preserve">https://www.plastemart.com/news-plastics-information/huhtamaki-india-limited-a-leading-flexible-packaging-converter-for-fmcg-and-food-brands/75108</t>
  </si>
  <si>
    <t xml:space="preserve">https://en.wikipedia.org/wiki/Huhtamaki_PPL</t>
  </si>
  <si>
    <t xml:space="preserve">https://dfd.dr.morningstar.com.au/investments/security/NSE/HUHTAMAKI</t>
  </si>
  <si>
    <t xml:space="preserve">https://production.huhtamaki.com/en-in/flexible-packaging</t>
  </si>
  <si>
    <t xml:space="preserve">https://ingredion.com/content/dam/ingredion/technical-documents/na/CERELOSE%20Anhydrous%20Dextrose%20024010%20Technical%20Specification.pdf</t>
  </si>
  <si>
    <t xml:space="preserve">https://pharmaoffer.com/api-excipient-supplier/company/ingredion</t>
  </si>
  <si>
    <t xml:space="preserve">https://www.textileworld.com/textile-world/fiber-world/2016/02/indorama-ventures-and-dhunseri-form-joint-venture-in-india/</t>
  </si>
  <si>
    <t xml:space="preserve">https://chemengonline.com/indorama-to-form-pet-manufacturing-joint-venture-in-india</t>
  </si>
  <si>
    <t xml:space="preserve">https://www.jaysomnathstarch.in/dextrose-anhydrous-powder.htm</t>
  </si>
  <si>
    <t xml:space="preserve">https://www.jaysomnathstarch.in/dextrose-monohydrate-powder.htm</t>
  </si>
  <si>
    <t xml:space="preserve">https://piceapp.com/gst-number-search/jay-somnath-starch-product-24aasfj8076f1zx/</t>
  </si>
  <si>
    <t xml:space="preserve">https://www.crisil.com/mnt/winshare/Ratings/RatingList/RatingDocs/JindalPolyFilmsLimited_August 14_ 2026_RR_401765.html</t>
  </si>
  <si>
    <t xml:space="preserve">https://www.crisil.com/mnt/winshare/Ratings/RatingList/RatingDocs/JindalPolyFilmsLimited_May 18_ 2026_RR_395327.html</t>
  </si>
  <si>
    <t xml:space="preserve">https://www.ilgiornaleditalia.it/news/mondo-imprese/739210/guala-closures-acquisisce-kwk-leader-del-settore-del-packaging-farmaceutico-con-ricavi-di-18-milioni-di-euro-in-12-mesi.html</t>
  </si>
  <si>
    <t xml:space="preserve">https://plasticker.de/Plastics_News_47298_Guala_Closures_Packaging_Specialist_Acquires_KWK_Kunststoffwerk_Kremsmnster__Entry_into_the_Pharmaceutical_Closure_Market</t>
  </si>
  <si>
    <t xml:space="preserve">https://www.kwk.at/</t>
  </si>
  <si>
    <t xml:space="preserve">https://www.laballey.com/products/dextrose-monohydrate-fcc-grade-powder</t>
  </si>
  <si>
    <t xml:space="preserve">https://media.laballey.com/docbuilder/dextrose-monohydrate-fcc-grade-powder-country-of-origin-document-652e9c01db492.pdf</t>
  </si>
  <si>
    <t xml:space="preserve">https://manjushreeindia.com/wp-content/uploads/2024/10/Caps-Closures.pdf</t>
  </si>
  <si>
    <t xml:space="preserve">https://www.manjushreeindia.com/wp-content/uploads/2024/03/Manjushree-Corporate-Presentation.pdf</t>
  </si>
  <si>
    <t xml:space="preserve">https://manjushreeindia.com/wp-content/uploads/2024/10/Preforms.pdf</t>
  </si>
  <si>
    <t xml:space="preserve">https://www.manjushreeindia.com/wp-content/uploads/2023/07/MTL-Corporate-Presentation.pdf</t>
  </si>
  <si>
    <t xml:space="preserve">https://www.printweek.in/news/india-packaging-leader-manjushree-technopack-acquires-delhi-varahi-22700</t>
  </si>
  <si>
    <t xml:space="preserve">https://petpla.net/?p=3756</t>
  </si>
  <si>
    <t xml:space="preserve">https://packagingsouthasia.com/packaging-production/manjushree-technopack-commissions-new-plant-at-silvassa/</t>
  </si>
  <si>
    <t xml:space="preserve">https://www.indiamart.com/manjushree-technopack-ltd/aboutus.html</t>
  </si>
  <si>
    <t xml:space="preserve">https://altiusinvestech.com/blog/advent-internationals-3x-bagger-a-strategic-exit-from-manjushree-in-5-years/</t>
  </si>
  <si>
    <t xml:space="preserve">https://en.wikipedia.org/wiki/Manjushree_Technopack</t>
  </si>
  <si>
    <t xml:space="preserve">https://www.indiamart.com/manjushree-techno-pack-limited/profile.html</t>
  </si>
  <si>
    <t xml:space="preserve">https://www.indiamart.com/manjushree-technopark-limited/</t>
  </si>
  <si>
    <t xml:space="preserve">https://www.tradeindia.com/Seller-2683598-MANJUSHREE-TECHNOPACK-LTD-/</t>
  </si>
  <si>
    <t xml:space="preserve">https://www.tradeindia.com/products/pet-bisleri-bottles-6089274.html</t>
  </si>
  <si>
    <t xml:space="preserve">https://mysuruinfrahub.com/manjushree-technopack-limited-to-setup-a-plastic-packaging-plant-at-chamarajanagar/</t>
  </si>
  <si>
    <t xml:space="preserve">https://www.indiainfoline.com/company/alternicq-ltd/summary</t>
  </si>
  <si>
    <t xml:space="preserve">https://www.adventinternational.com/ideas/the-endless-life-cycle-of-plastic-manjushree-technopack/</t>
  </si>
  <si>
    <t xml:space="preserve">https://sbnri.com/p/pre-ipo/Manjushree-Technopack-Ltd.-jxbE69gV</t>
  </si>
  <si>
    <t xml:space="preserve">https://m.indiamart.com/mark-pack/pet-bottles.html</t>
  </si>
  <si>
    <t xml:space="preserve">https://m.indiamart.com/markpack/pet-plastic-bottles.html</t>
  </si>
  <si>
    <t xml:space="preserve">https://m.indiamart.com/markpack/pet-jars.html</t>
  </si>
  <si>
    <t xml:space="preserve">https://m.indiamart.com/mark-pack/plastic-bottle.html</t>
  </si>
  <si>
    <t xml:space="preserve">https://iamrenew.com/green-energy/nafed-nccf-can-sell-maize-to-ethanol-makers-at-base-rate/amp</t>
  </si>
  <si>
    <t xml:space="preserve">https://advancedbiofuelsusa.info/govt-to-buy-maize-at-msp-raise-output-to-meet-biofuel-needs</t>
  </si>
  <si>
    <t xml:space="preserve">https://www.qcintel.com/biofuels/article/indian-goverment-issues-sop-for-corn-procurement-for-ethanol-output-21584.html</t>
  </si>
  <si>
    <t xml:space="preserve">https://cropgpt.ai/nafed-agrees-to-procure-1-lakh-tonnes-of-maize-from-telangana-sets-up-procurement-centres-and-assures-minimum-support-price-for-farmers</t>
  </si>
  <si>
    <t xml:space="preserve">https://www.indiancooperative.com/co-op-news-snippets/price-fall-triggers-msp-push-by-nafed-nccf/</t>
  </si>
  <si>
    <t xml:space="preserve">https://krishijagran.com/news/maize-to-be-procured-by-govt-at-msp-increased-production-targeted-to-meet-biofuel-requirements/?amp=1</t>
  </si>
  <si>
    <t xml:space="preserve">https://www.angelone.in/news/economy/centre-extends-maize-msp-procurement-deadline-for-kharif-2025-26-till-april-30</t>
  </si>
  <si>
    <t xml:space="preserve">https://www.exporthub.com/nishant-mouldings/</t>
  </si>
  <si>
    <t xml:space="preserve">https://www.dial4trade.com/nishant-moulding/pet-preforms-pdid-6788384.htm</t>
  </si>
  <si>
    <t xml:space="preserve">https://www.pharmaceutical-technology.com/contractors/packaging/origin/pressreleases/pressorigin-pharma-packaging-child-safety</t>
  </si>
  <si>
    <t xml:space="preserve">https://pharmaceutical-technology.com/contractors/cleanroom/origin/pressreleases/child-resistant-packaging</t>
  </si>
  <si>
    <t xml:space="preserve">https://www.pharmaceutical-technology.com/contractors/packaging/origin/</t>
  </si>
  <si>
    <t xml:space="preserve">https://packagingsouthasia.com/packaging-production/pet-pioneer-pearl/</t>
  </si>
  <si>
    <t xml:space="preserve">https://www.roic.ai/quote/PEARLPOLY.BO</t>
  </si>
  <si>
    <t xml:space="preserve">https://www.screener.in/company/PEARLPOLY</t>
  </si>
  <si>
    <t xml:space="preserve">https://kotaksecurities.com/stocks/bse-pearl-polymers-ltd</t>
  </si>
  <si>
    <t xml:space="preserve">https://www.tickertape.in/stocks/pearl-polymers-PRLP</t>
  </si>
  <si>
    <t xml:space="preserve">https://www.angelone.in/news/stocks-share-market/polyplex-corporation-expands-its-horizons-with-new-bopet-film-plant-in-india</t>
  </si>
  <si>
    <t xml:space="preserve">https://filingreader.com/news-wire/mumbai/2025-09-15/polyplex-highlights-global-expansion-sustainable-growth-strategy</t>
  </si>
  <si>
    <t xml:space="preserve">https://www.screener.in/company/524051</t>
  </si>
  <si>
    <t xml:space="preserve">https://pharmasource.global/directory/radcom-packaging-pvt-ltd/</t>
  </si>
  <si>
    <t xml:space="preserve">https://www.cphi-online.com/company/radcom-packaging-pvt-ltd/</t>
  </si>
  <si>
    <t xml:space="preserve">https://m.indiamart.com/radcompackaging/hdpe-pet-containers-4-nutraceuticals-supplements.html</t>
  </si>
  <si>
    <t xml:space="preserve">https://m.indiamart.com/radcompackaging/pet-cream-jars-and-pp-cream-jars.html</t>
  </si>
  <si>
    <t xml:space="preserve">https://agrospectrumindia.com/news/5/34078/regaal-resources-doubles-capacity-to-1650-tpd-commissions-new-lg-and-mpd-facility-in-bihar-with-rs-389-cr-investment.html</t>
  </si>
  <si>
    <t xml:space="preserve">https://tradebrains.in/regaal-resources-doubles-crushing-capacity-to-1650-tpd-full-year-revenue-touches-1134-crore/</t>
  </si>
  <si>
    <t xml:space="preserve">https://www.outlookbusiness.com/news/regaal-resources-doubles-maize-processing-capacity-with-389-cr-expansion-at-kishanganj-bihar</t>
  </si>
  <si>
    <t xml:space="preserve">https://www.samco.in/ipo/regaal-resources-ipo</t>
  </si>
  <si>
    <t xml:space="preserve">https://x.com/LnprCapital/status/1957687364702335124?lang=en</t>
  </si>
  <si>
    <t xml:space="preserve">https://www.businessupturn.com/business/corporates/regaal-resources-doubles-maize-processing-capacity-to-1650-tpd-in-kishanganj</t>
  </si>
  <si>
    <t xml:space="preserve">https://www.tipranks.com/news/company-announcements/regaal-resources-doubles-maize-capacity-becomes-eastern-indias-largest-specialty-producer</t>
  </si>
  <si>
    <t xml:space="preserve">https://chemindigest.com/regaal-resources-commissions-lg-and-mpd-facility-in-bihar/</t>
  </si>
  <si>
    <t xml:space="preserve">https://www.businesstoday.in/amp/markets/ipo-corner/story/regaal-resources-ipo-opens-today-check-reviews-ratings-latest-gmp-more-488973-2025-08-12</t>
  </si>
  <si>
    <t xml:space="preserve">https://rilstaticasset.akamaized.net/sites/default/files/2022-12/py_rpt_g5801_spec.pdf</t>
  </si>
  <si>
    <t xml:space="preserve">https://plastics.ulprospector.com/plastics/en/generics/37/materials/4048</t>
  </si>
  <si>
    <t xml:space="preserve">https://www.specialchem.com/plastics/supplier/reliance-industries/relpet</t>
  </si>
  <si>
    <t xml:space="preserve">https://Knowde.com/stores/reliance-industries-ltd/products/relpet-g5801</t>
  </si>
  <si>
    <t xml:space="preserve">https://www.indianchemicalnews.com/petro-chemical/lite/reliance-to-double-its-pet-recycling-capacity-to-5-bn-bottles-9971</t>
  </si>
  <si>
    <t xml:space="preserve">https://petpla.net/2023/02/01/pet-raw-material-and-recyclate-from-india/</t>
  </si>
  <si>
    <t xml:space="preserve">https://riddhisiddhi.co.in/pdf/other-events-and-disclosure/press-release-19-01-2026.pdf</t>
  </si>
  <si>
    <t xml:space="preserve">https://www.world-grain.com/articles/22710-rsgbl-acquires-cargill-corn-mill-in-india</t>
  </si>
  <si>
    <t xml:space="preserve">https://insights.munich-startup.de/news/feed/riddhi-siddhi-gluco-biols-acquires-cargill-s-300-000-mt-corn-milling-facility-in-karnataka</t>
  </si>
  <si>
    <t xml:space="preserve">https://themachinemaker.com/news/rsgbl-completes-acquisition-of-corn-wet-milling-facility-from-cargill-in-karnataka/</t>
  </si>
  <si>
    <t xml:space="preserve">https://www.roquette.com/health-pharma/injectable-dialysis-specialty-apis/lycadex-pf-dextrose-monohydrate</t>
  </si>
  <si>
    <t xml:space="preserve">https://www.roquette.com/pharma-and-nutraceuticals-pyrogen-free-dextrose-monohydrate</t>
  </si>
  <si>
    <t xml:space="preserve">https://fr.roquette.com/-/media/roquette-sharepoint-libraries/marcomonline---pharma/roquette-pharma-injectable-dialysis-specialty-api-brochure.pdf</t>
  </si>
  <si>
    <t xml:space="preserve">https://manufacturingchemist.com/roquette-completes-injectable-carbohydrate-plant-at-lestrem-63951</t>
  </si>
  <si>
    <t xml:space="preserve">https://www.roquette.com/pharma-lycadex-pf-dextrose-monohydrate-pyrogen-free</t>
  </si>
  <si>
    <t xml:space="preserve">https://www.roquette.com/health-pharma/biologics-product-finder/lycadex-biopharma-dextrose-monohydrate-low-endotoxin</t>
  </si>
  <si>
    <t xml:space="preserve">https://www.roquette.com/health-pharma/pharmaceutical-product-catalog/glucidex-21-dehydrated-glucose-syrup-india</t>
  </si>
  <si>
    <t xml:space="preserve">https://www.roquette.com/press-releases/product-capabilities-viramgam-india</t>
  </si>
  <si>
    <t xml:space="preserve">https://www.roquette.com/press-releases/roquette-celebrates-10-years-operation-pantnagar</t>
  </si>
  <si>
    <t xml:space="preserve">https://www.indianchemicalnews.com/general/lite/roquette-inaugurates-spray-tower-at-pantnagar-site-in-india-11507</t>
  </si>
  <si>
    <t xml:space="preserve">https://www.potatopro.com/node/8764</t>
  </si>
  <si>
    <t xml:space="preserve">https://www.riddhisiddhi.co.in/about.html</t>
  </si>
  <si>
    <t xml:space="preserve">https://www.roquette.com/media-center/press-center/2019-08-28-roquette-india-viramgam-s-unit-inauguration</t>
  </si>
  <si>
    <t xml:space="preserve">https://www.foodnavigator.com/Article/2012/06/01/Roquette-Indian-starch-JV-to-drive-market-traction</t>
  </si>
  <si>
    <t xml:space="preserve">https://www.maizeproducts.com/industry-solutions/dextrose-monohydrate/</t>
  </si>
  <si>
    <t xml:space="preserve">https://exhibitors.figlobal.com/net/company/26/90/94/result269094-565.html</t>
  </si>
  <si>
    <t xml:space="preserve">https://upstox.com/stocks/sayaji-industries-limited/INE327G01032</t>
  </si>
  <si>
    <t xml:space="preserve">https://www.careratings.com/upload/CompanyFiles/PR/Sayaji Industries Limited-03-11-2019.pdf</t>
  </si>
  <si>
    <t xml:space="preserve">https://www.kotaksecurities.com/stocks/bse-sayaji-industries-ltd</t>
  </si>
  <si>
    <t xml:space="preserve">https://www.pharmacompass.com/dmf-37618</t>
  </si>
  <si>
    <t xml:space="preserve">https://www.pharmacompass.com/dmf-35737</t>
  </si>
  <si>
    <t xml:space="preserve">https://www.shethpet.in/pharma-pet-bottle.html</t>
  </si>
  <si>
    <t xml:space="preserve">https://th.globallinker.com/network/rubber-plastics-polymers/sme/sheth-pet-polymers-private-limited-241415</t>
  </si>
  <si>
    <t xml:space="preserve">https://silgandispensing.com/wp-content/uploads/2026/07/260504-Dispensing-Closures-Catalogue-HR-1.pdf</t>
  </si>
  <si>
    <t xml:space="preserve">https://silgandispensing.com/wp-content/uploads/2026/01/Dispensing-Closures-Catalogue-06.25-HR.pdf</t>
  </si>
  <si>
    <t xml:space="preserve">https://silgandispensing.com/wp-content/uploads/2018/01/20SDS0755_Closures-Product-Guide_r3.pdf</t>
  </si>
  <si>
    <t xml:space="preserve">https://m.indiamart.com/sonapetindustries/about-us.html</t>
  </si>
  <si>
    <t xml:space="preserve">https://m.indiamart.com/sonapetindustries/plastic-container.html</t>
  </si>
  <si>
    <t xml:space="preserve">https://disclosures.ifc.org/project-detail/ESRS/37933/srf-india-bopet</t>
  </si>
  <si>
    <t xml:space="preserve">https://www.packaging-gateway.com/news/srf-plans-to-invest-58m-in-bopet-production-facility-in-indore-india-090216-4805002/</t>
  </si>
  <si>
    <t xml:space="preserve">https://www.indianpharmapost.com/sustainability/srichakra-receives-european-food-safety-approval-for-its-food-grade-recycled-rpet-11622</t>
  </si>
  <si>
    <t xml:space="preserve">https://www.petnology.com/magazine/article/srichakra-becomes-the-first-indian-recycling-company-to-receive-a-positive-safety-assessment-from-european-food-safety-authority</t>
  </si>
  <si>
    <t xml:space="preserve">https://petpla.net/2025/04/28/srichakra-triples-bottle-grade-rpet-production-capacities/</t>
  </si>
  <si>
    <t xml:space="preserve">https://www.foodanddrinktechnology.com/news/48696/recycled-pet-for-indias-first-100-rpet-beverage-bottle-produced-by-srichakra-polyplast/</t>
  </si>
  <si>
    <t xml:space="preserve">https://petpla.net/2021/11/08/bottle-to-bottle-recycling-line-at-srichakra-polyplast-in-india/</t>
  </si>
  <si>
    <t xml:space="preserve">https://www.circulatecapital.com/wp-content/uploads/2022/11/Srichakra_Press-Release_March-9-2022.docx.pdf</t>
  </si>
  <si>
    <t xml:space="preserve">https://tekni-plex.com/en/articles/tri-seal-luxe-seal-2-pc-embossed-induction-seal-closer-liners</t>
  </si>
  <si>
    <t xml:space="preserve">https://www.healthcarepackaging.com/home/press-release/13289282/tekniplex-induction-seals</t>
  </si>
  <si>
    <t xml:space="preserve">https://www.oemmagazine.org/home/product/15693541/triseal-a-tekniplex-co-triseal-embossed-induction-seal-closure-liners</t>
  </si>
  <si>
    <t xml:space="preserve">https://tekni-plex.com/en/articles/tri-seal-unveils-latest-pouch-lidding-structures-for-medical-device-and-pharma-applications-at-mdm-west</t>
  </si>
  <si>
    <t xml:space="preserve">https://www.indiancooperative.com/co-op-news-snippets/maize-procurement-telangana-markfed-coordinating-with-nafed/</t>
  </si>
  <si>
    <t xml:space="preserve">https://www.siasat.com/telangana-govt-opens-maize-procurement-centres-after-brs-pressure-harish-rao-3438607/</t>
  </si>
  <si>
    <t xml:space="preserve">https://www.siasat.com/telanganas-maize-crisis-exposes-gaps-in-procurement-storage-systems-3468406/</t>
  </si>
  <si>
    <t xml:space="preserve">https://pharmaoffer.com/api-excipient-supplier/company/tereos</t>
  </si>
  <si>
    <t xml:space="preserve">https://www.crisil.com/mnt/winshare/Ratings/RatingList/RatingDocs/TheSukhjitStarchandChemicalsLimited_June 12_ 2026_RR_394602.html</t>
  </si>
  <si>
    <t xml:space="preserve">https://www.careratings.com/upload/CompanyFiles/PR/20092022074241_The_Sukhjit_Starch_&amp;_Chemicals_Limited.pdf</t>
  </si>
  <si>
    <t xml:space="preserve">https://filingreader.com/news-wire/mumbai/2026-05-06/sukhjit-starch-to-shut-phagwara-unit-for-maintenance</t>
  </si>
  <si>
    <t xml:space="preserve">https://www.morningstar.com.au/investments/security/NSE/SUKHJITS</t>
  </si>
  <si>
    <t xml:space="preserve">https://www.crisil.com/mnt/winshare/Ratings/RatingList/RatingDocs/TheSukhjitStarchandChemicalsLimited_August 09_ 2024_RR_350173.html</t>
  </si>
  <si>
    <t xml:space="preserve">https://www.crisil.com/mnt/winshare/Ratings/RatingList/RatingDocs/TheSukhjitStarchandChemicalsLimited_July 18_ 2024_RR_347845.html</t>
  </si>
  <si>
    <t xml:space="preserve">https://www.careratings.com/upload/CompanyFiles/PR/The Sukhjit Starch &amp; Chemicals Limited-10-09-2017.pdf</t>
  </si>
  <si>
    <t xml:space="preserve">https://www.indiainfoline.com/company/sukhjit-starch-chemicals-ltd/summary</t>
  </si>
  <si>
    <t xml:space="preserve">https://www.indianchemicalnews.com/general/sukhjit-starch-signs-rs-500-crore-mou-with-maharashtra-for-nashik-maize-unit-31805</t>
  </si>
  <si>
    <t xml:space="preserve">https://www.freepressjournal.in/pune/nashik-sukhjit-biocorn-to-invest-760-crore-in-yeola-midc-agro-processing-plant</t>
  </si>
  <si>
    <t xml:space="preserve">https://www.crisil.com/mnt/winshare/Ratings/RatingList/RatingDocs/TheSukhjitStarchandChemicalsLimited_July 20, 2023_RR_323242.html</t>
  </si>
  <si>
    <t xml:space="preserve">https://musaffa.com/stock/524582.BO/</t>
  </si>
  <si>
    <t xml:space="preserve">https://www.indiainfoline.com/company/tirupati-starch-chemicals-ltd-management/summary/3872</t>
  </si>
  <si>
    <t xml:space="preserve">https://www.printweek.in/news/uflex-highlights-its-pharma-packaging-solutions-at-cphi-2019-42519</t>
  </si>
  <si>
    <t xml:space="preserve">https://packagingsouthasia.com/events/uflex-launches-stick-pack-machine-at-cphi-and-p-mec-2019/</t>
  </si>
  <si>
    <t xml:space="preserve">https://www.plastemart.com/news-plastics-information/UFlex-Limited-A-Global-Leader-in-Flexible-Packaging-Films/75103</t>
  </si>
  <si>
    <t xml:space="preserve">https://www.packaginginsights.com/profile-directory/uflex-limited.html</t>
  </si>
  <si>
    <t xml:space="preserve">https://www.cphi-online.com/company/universal-starch-chem-allied-ltd/</t>
  </si>
  <si>
    <t xml:space="preserve">https://www.cphi-online.com/product/dextrose-monohydrate-3/</t>
  </si>
  <si>
    <t xml:space="preserve">https://www.bloomberg.com/profile/company/UNIVSTAR:IN</t>
  </si>
  <si>
    <t xml:space="preserve">https://m.indiamart.com/universalstarch/corn-starch.html</t>
  </si>
  <si>
    <t xml:space="preserve">https://www.sharescart.com/company/univer-starch-chem/</t>
  </si>
  <si>
    <t xml:space="preserve">https://www.cphi-online.com/company/weifang-shengtai-medicine-co-ltd/</t>
  </si>
  <si>
    <t xml:space="preserve">https://www.cphi-online.com/product/dextrose-anhydrous-3/</t>
  </si>
  <si>
    <t xml:space="preserve">https://www.cphi-online.com/product/dextrose-monohydrate-4/</t>
  </si>
  <si>
    <t xml:space="preserve">https://www.biospace.com/shengtai-pharmaceutical-inc-sets-up-new-sales-departments-to-accommodate-anticipated-ramp-in-operations-of-new-glucose-facility</t>
  </si>
  <si>
    <t xml:space="preserve">https://hk.finance.yahoo.com/quote/SGTI/profile</t>
  </si>
  <si>
    <t xml:space="preserve">https://www.pharmacompass.com/dmf-26450</t>
  </si>
  <si>
    <t xml:space="preserve">https://pharmaoffer.com/api-excipient-supplier/company/xiwang-pharma</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</si>
</sst>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sz val="10"/>
      <name val="Arial"/>
      <family val="0"/>
      <charset val="1"/>
    </font>
    <font>
      <b val="true"/>
      <sz val="11"/>
      <color rgb="FF1F3A5F"/>
      <name val="Arial"/>
      <family val="0"/>
      <charset val="1"/>
    </font>
    <font>
      <b val="true"/>
      <sz val="10"/>
      <name val="Arial"/>
      <family val="0"/>
      <charset val="1"/>
    </font>
    <font>
      <b val="true"/>
      <sz val="10"/>
      <color rgb="FFFFFFFF"/>
      <name val="Arial"/>
      <family val="0"/>
      <charset val="1"/>
    </font>
    <font>
      <i val="true"/>
      <sz val="9"/>
      <name val="Arial"/>
      <family val="0"/>
      <charset val="1"/>
    </font>
    <font>
      <u val="single"/>
      <sz val="10"/>
      <color rgb="FF1155CC"/>
      <name val="Arial"/>
      <family val="0"/>
      <charset val="1"/>
    </font>
    <font>
      <sz val="10"/>
      <name val="Noto Sans CJK SC"/>
      <family val="2"/>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115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ables/table1.xml><?xml version="1.0" encoding="utf-8"?>
<table xmlns="http://schemas.openxmlformats.org/spreadsheetml/2006/main" id="1" name="AllLines" displayName="AllLines" ref="A1:AB107" headerRowCount="1" totalsRowCount="0" totalsRowShown="0">
  <autoFilter ref="A1:AB107"/>
  <tableColumns count="28">
    <tableColumn id="1" name="Company ID"/>
    <tableColumn id="2" name="Company (legal / registered name)"/>
    <tableColumn id="3" name="Trade / brand name"/>
    <tableColumn id="4" name="Legal name verified"/>
    <tableColumn id="5" name="Material category"/>
    <tableColumn id="6" name="Segment"/>
    <tableColumn id="7" name="Subcategory"/>
    <tableColumn id="8" name="Relevant products"/>
    <tableColumn id="9" name="Grades / specs / sizes / materials"/>
    <tableColumn id="10" name="Related products kept separate (out of scope)"/>
    <tableColumn id="11" name="Role"/>
    <tableColumn id="12" name="Applications"/>
    <tableColumn id="13" name="Priority match (keyword-derived)"/>
    <tableColumn id="14" name="Region"/>
    <tableColumn id="15" name="HQ"/>
    <tableColumn id="16" name="Country"/>
    <tableColumn id="17" name="Plants"/>
    <tableColumn id="18" name="Website"/>
    <tableColumn id="19" name="Certifications (as stated)"/>
    <tableColumn id="20" name="Capacity (published)"/>
    <tableColumn id="21" name="Revenue (published)"/>
    <tableColumn id="22" name="Ownership"/>
    <tableColumn id="23" name="Credit rating"/>
    <tableColumn id="24" name="Suitability / verification notes"/>
    <tableColumn id="25" name="Evidence confidence"/>
    <tableColumn id="26" name="Also listed under"/>
    <tableColumn id="27" name="No. of sources"/>
    <tableColumn id="28" name="Sources"/>
  </tableColumns>
</table>
</file>

<file path=xl/tables/table2.xml><?xml version="1.0" encoding="utf-8"?>
<table xmlns="http://schemas.openxmlformats.org/spreadsheetml/2006/main" id="2" name="BOPETBaseFilm" displayName="BOPETBaseFilm" ref="A2:Z9" headerRowCount="1" totalsRowCount="0" totalsRowShown="0">
  <autoFilter ref="A2:Z9"/>
  <tableColumns count="26">
    <tableColumn id="1" name="Company ID"/>
    <tableColumn id="2" name="Company (legal / registered name)"/>
    <tableColumn id="3" name="Trade / brand name"/>
    <tableColumn id="4" name="Legal name verified"/>
    <tableColumn id="5" name="Subcategory"/>
    <tableColumn id="6" name="Relevant products"/>
    <tableColumn id="7" name="Grades / specs / sizes / materials"/>
    <tableColumn id="8" name="Related products kept separate (out of scope)"/>
    <tableColumn id="9" name="Role"/>
    <tableColumn id="10" name="Applications"/>
    <tableColumn id="11" name="Priority match (keyword-derived)"/>
    <tableColumn id="12" name="Region"/>
    <tableColumn id="13" name="HQ"/>
    <tableColumn id="14" name="Country"/>
    <tableColumn id="15" name="Plants"/>
    <tableColumn id="16" name="Website"/>
    <tableColumn id="17" name="Certifications (as stated)"/>
    <tableColumn id="18" name="Capacity (published)"/>
    <tableColumn id="19" name="Revenue (published)"/>
    <tableColumn id="20" name="Ownership"/>
    <tableColumn id="21" name="Credit rating"/>
    <tableColumn id="22" name="Suitability / verification notes"/>
    <tableColumn id="23" name="Evidence confidence"/>
    <tableColumn id="24" name="Also listed under"/>
    <tableColumn id="25" name="No. of sources"/>
    <tableColumn id="26" name="Sources"/>
  </tableColumns>
</table>
</file>

<file path=xl/tables/table3.xml><?xml version="1.0" encoding="utf-8"?>
<table xmlns="http://schemas.openxmlformats.org/spreadsheetml/2006/main" id="3" name="CapsClosures" displayName="CapsClosures" ref="A2:Z21" headerRowCount="1" totalsRowCount="0" totalsRowShown="0">
  <autoFilter ref="A2:Z21"/>
  <tableColumns count="26">
    <tableColumn id="1" name="Company ID"/>
    <tableColumn id="2" name="Company (legal / registered name)"/>
    <tableColumn id="3" name="Trade / brand name"/>
    <tableColumn id="4" name="Legal name verified"/>
    <tableColumn id="5" name="Subcategory"/>
    <tableColumn id="6" name="Relevant products"/>
    <tableColumn id="7" name="Grades / specs / sizes / materials"/>
    <tableColumn id="8" name="Related products kept separate (out of scope)"/>
    <tableColumn id="9" name="Role"/>
    <tableColumn id="10" name="Applications"/>
    <tableColumn id="11" name="Priority match (keyword-derived)"/>
    <tableColumn id="12" name="Region"/>
    <tableColumn id="13" name="HQ"/>
    <tableColumn id="14" name="Country"/>
    <tableColumn id="15" name="Plants"/>
    <tableColumn id="16" name="Website"/>
    <tableColumn id="17" name="Certifications (as stated)"/>
    <tableColumn id="18" name="Capacity (published)"/>
    <tableColumn id="19" name="Revenue (published)"/>
    <tableColumn id="20" name="Ownership"/>
    <tableColumn id="21" name="Credit rating"/>
    <tableColumn id="22" name="Suitability / verification notes"/>
    <tableColumn id="23" name="Evidence confidence"/>
    <tableColumn id="24" name="Also listed under"/>
    <tableColumn id="25" name="No. of sources"/>
    <tableColumn id="26" name="Sources"/>
  </tableColumns>
</table>
</file>

<file path=xl/tables/table4.xml><?xml version="1.0" encoding="utf-8"?>
<table xmlns="http://schemas.openxmlformats.org/spreadsheetml/2006/main" id="4" name="Companies" displayName="Companies" ref="A1:S98" headerRowCount="1" totalsRowCount="0" totalsRowShown="0">
  <autoFilter ref="A1:S98"/>
  <tableColumns count="19">
    <tableColumn id="1" name="Company ID"/>
    <tableColumn id="2" name="Company (legal / registered name)"/>
    <tableColumn id="3" name="Trade / brand name"/>
    <tableColumn id="4" name="Legal name verified"/>
    <tableColumn id="5" name="Website"/>
    <tableColumn id="6" name="HQ"/>
    <tableColumn id="7" name="Country"/>
    <tableColumn id="8" name="Region"/>
    <tableColumn id="9" name="Material categories supported"/>
    <tableColumn id="10" name="No. of categories"/>
    <tableColumn id="11" name="Roles"/>
    <tableColumn id="12" name="Ownership"/>
    <tableColumn id="13" name="Capacity (published)"/>
    <tableColumn id="14" name="Revenue (published)"/>
    <tableColumn id="15" name="Credit rating"/>
    <tableColumn id="16" name="Certifications (as stated)"/>
    <tableColumn id="17" name="Best evidence confidence"/>
    <tableColumn id="18" name="No. of sources"/>
    <tableColumn id="19" name="Sources"/>
  </tableColumns>
</table>
</file>

<file path=xl/tables/table5.xml><?xml version="1.0" encoding="utf-8"?>
<table xmlns="http://schemas.openxmlformats.org/spreadsheetml/2006/main" id="5" name="Dextrose" displayName="Dextrose" ref="A2:Z39" headerRowCount="1" totalsRowCount="0" totalsRowShown="0">
  <autoFilter ref="A2:Z39"/>
  <tableColumns count="26">
    <tableColumn id="1" name="Company ID"/>
    <tableColumn id="2" name="Company (legal / registered name)"/>
    <tableColumn id="3" name="Trade / brand name"/>
    <tableColumn id="4" name="Legal name verified"/>
    <tableColumn id="5" name="Subcategory"/>
    <tableColumn id="6" name="Relevant products"/>
    <tableColumn id="7" name="Grades / specs / sizes / materials"/>
    <tableColumn id="8" name="Related products kept separate (out of scope)"/>
    <tableColumn id="9" name="Role"/>
    <tableColumn id="10" name="Applications"/>
    <tableColumn id="11" name="Priority match (keyword-derived)"/>
    <tableColumn id="12" name="Region"/>
    <tableColumn id="13" name="HQ"/>
    <tableColumn id="14" name="Country"/>
    <tableColumn id="15" name="Plants"/>
    <tableColumn id="16" name="Website"/>
    <tableColumn id="17" name="Certifications (as stated)"/>
    <tableColumn id="18" name="Capacity (published)"/>
    <tableColumn id="19" name="Revenue (published)"/>
    <tableColumn id="20" name="Ownership"/>
    <tableColumn id="21" name="Credit rating"/>
    <tableColumn id="22" name="Suitability / verification notes"/>
    <tableColumn id="23" name="Evidence confidence"/>
    <tableColumn id="24" name="Also listed under"/>
    <tableColumn id="25" name="No. of sources"/>
    <tableColumn id="26" name="Sources"/>
  </tableColumns>
</table>
</file>

<file path=xl/tables/table6.xml><?xml version="1.0" encoding="utf-8"?>
<table xmlns="http://schemas.openxmlformats.org/spreadsheetml/2006/main" id="6" name="LaminateConverters" displayName="LaminateConverters" ref="A2:Z6" headerRowCount="1" totalsRowCount="0" totalsRowShown="0">
  <autoFilter ref="A2:Z6"/>
  <tableColumns count="26">
    <tableColumn id="1" name="Company ID"/>
    <tableColumn id="2" name="Company (legal / registered name)"/>
    <tableColumn id="3" name="Trade / brand name"/>
    <tableColumn id="4" name="Legal name verified"/>
    <tableColumn id="5" name="Subcategory"/>
    <tableColumn id="6" name="Relevant products"/>
    <tableColumn id="7" name="Grades / specs / sizes / materials"/>
    <tableColumn id="8" name="Related products kept separate (out of scope)"/>
    <tableColumn id="9" name="Role"/>
    <tableColumn id="10" name="Applications"/>
    <tableColumn id="11" name="Priority match (keyword-derived)"/>
    <tableColumn id="12" name="Region"/>
    <tableColumn id="13" name="HQ"/>
    <tableColumn id="14" name="Country"/>
    <tableColumn id="15" name="Plants"/>
    <tableColumn id="16" name="Website"/>
    <tableColumn id="17" name="Certifications (as stated)"/>
    <tableColumn id="18" name="Capacity (published)"/>
    <tableColumn id="19" name="Revenue (published)"/>
    <tableColumn id="20" name="Ownership"/>
    <tableColumn id="21" name="Credit rating"/>
    <tableColumn id="22" name="Suitability / verification notes"/>
    <tableColumn id="23" name="Evidence confidence"/>
    <tableColumn id="24" name="Also listed under"/>
    <tableColumn id="25" name="No. of sources"/>
    <tableColumn id="26" name="Sources"/>
  </tableColumns>
</table>
</file>

<file path=xl/tables/table7.xml><?xml version="1.0" encoding="utf-8"?>
<table xmlns="http://schemas.openxmlformats.org/spreadsheetml/2006/main" id="7" name="Maize" displayName="Maize" ref="A2:Z15" headerRowCount="1" totalsRowCount="0" totalsRowShown="0">
  <autoFilter ref="A2:Z15"/>
  <tableColumns count="26">
    <tableColumn id="1" name="Company ID"/>
    <tableColumn id="2" name="Company (legal / registered name)"/>
    <tableColumn id="3" name="Trade / brand name"/>
    <tableColumn id="4" name="Legal name verified"/>
    <tableColumn id="5" name="Subcategory"/>
    <tableColumn id="6" name="Relevant products"/>
    <tableColumn id="7" name="Grades / specs / sizes / materials"/>
    <tableColumn id="8" name="Related products kept separate (out of scope)"/>
    <tableColumn id="9" name="Role"/>
    <tableColumn id="10" name="Applications"/>
    <tableColumn id="11" name="Priority match (keyword-derived)"/>
    <tableColumn id="12" name="Region"/>
    <tableColumn id="13" name="HQ"/>
    <tableColumn id="14" name="Country"/>
    <tableColumn id="15" name="Plants"/>
    <tableColumn id="16" name="Website"/>
    <tableColumn id="17" name="Certifications (as stated)"/>
    <tableColumn id="18" name="Capacity (published)"/>
    <tableColumn id="19" name="Revenue (published)"/>
    <tableColumn id="20" name="Ownership"/>
    <tableColumn id="21" name="Credit rating"/>
    <tableColumn id="22" name="Suitability / verification notes"/>
    <tableColumn id="23" name="Evidence confidence"/>
    <tableColumn id="24" name="Also listed under"/>
    <tableColumn id="25" name="No. of sources"/>
    <tableColumn id="26" name="Sources"/>
  </tableColumns>
</table>
</file>

<file path=xl/tables/table8.xml><?xml version="1.0" encoding="utf-8"?>
<table xmlns="http://schemas.openxmlformats.org/spreadsheetml/2006/main" id="8" name="PETBottlesPreforms" displayName="PETBottlesPreforms" ref="A2:Z21" headerRowCount="1" totalsRowCount="0" totalsRowShown="0">
  <autoFilter ref="A2:Z21"/>
  <tableColumns count="26">
    <tableColumn id="1" name="Company ID"/>
    <tableColumn id="2" name="Company (legal / registered name)"/>
    <tableColumn id="3" name="Trade / brand name"/>
    <tableColumn id="4" name="Legal name verified"/>
    <tableColumn id="5" name="Subcategory"/>
    <tableColumn id="6" name="Relevant products"/>
    <tableColumn id="7" name="Grades / specs / sizes / materials"/>
    <tableColumn id="8" name="Related products kept separate (out of scope)"/>
    <tableColumn id="9" name="Role"/>
    <tableColumn id="10" name="Applications"/>
    <tableColumn id="11" name="Priority match (keyword-derived)"/>
    <tableColumn id="12" name="Region"/>
    <tableColumn id="13" name="HQ"/>
    <tableColumn id="14" name="Country"/>
    <tableColumn id="15" name="Plants"/>
    <tableColumn id="16" name="Website"/>
    <tableColumn id="17" name="Certifications (as stated)"/>
    <tableColumn id="18" name="Capacity (published)"/>
    <tableColumn id="19" name="Revenue (published)"/>
    <tableColumn id="20" name="Ownership"/>
    <tableColumn id="21" name="Credit rating"/>
    <tableColumn id="22" name="Suitability / verification notes"/>
    <tableColumn id="23" name="Evidence confidence"/>
    <tableColumn id="24" name="Also listed under"/>
    <tableColumn id="25" name="No. of sources"/>
    <tableColumn id="26" name="Sources"/>
  </tableColumns>
</table>
</file>

<file path=xl/tables/table9.xml><?xml version="1.0" encoding="utf-8"?>
<table xmlns="http://schemas.openxmlformats.org/spreadsheetml/2006/main" id="9" name="PETResin" displayName="PETResin" ref="A2:Z9" headerRowCount="1" totalsRowCount="0" totalsRowShown="0">
  <autoFilter ref="A2:Z9"/>
  <tableColumns count="26">
    <tableColumn id="1" name="Company ID"/>
    <tableColumn id="2" name="Company (legal / registered name)"/>
    <tableColumn id="3" name="Trade / brand name"/>
    <tableColumn id="4" name="Legal name verified"/>
    <tableColumn id="5" name="Subcategory"/>
    <tableColumn id="6" name="Relevant products"/>
    <tableColumn id="7" name="Grades / specs / sizes / materials"/>
    <tableColumn id="8" name="Related products kept separate (out of scope)"/>
    <tableColumn id="9" name="Role"/>
    <tableColumn id="10" name="Applications"/>
    <tableColumn id="11" name="Priority match (keyword-derived)"/>
    <tableColumn id="12" name="Region"/>
    <tableColumn id="13" name="HQ"/>
    <tableColumn id="14" name="Country"/>
    <tableColumn id="15" name="Plants"/>
    <tableColumn id="16" name="Website"/>
    <tableColumn id="17" name="Certifications (as stated)"/>
    <tableColumn id="18" name="Capacity (published)"/>
    <tableColumn id="19" name="Revenue (published)"/>
    <tableColumn id="20" name="Ownership"/>
    <tableColumn id="21" name="Credit rating"/>
    <tableColumn id="22" name="Suitability / verification notes"/>
    <tableColumn id="23" name="Evidence confidence"/>
    <tableColumn id="24" name="Also listed under"/>
    <tableColumn id="25" name="No. of sources"/>
    <tableColumn id="26" name="Sources"/>
  </tableColumns>
</table>
</file>

<file path=xl/tables/table10.xml><?xml version="1.0" encoding="utf-8"?>
<table xmlns="http://schemas.openxmlformats.org/spreadsheetml/2006/main" id="10" name="Sources" displayName="Sources" ref="A1:D323" headerRowCount="1" totalsRowCount="0" totalsRowShown="0">
  <autoFilter ref="A1:D323"/>
  <tableColumns count="4">
    <tableColumn id="1" name="Company ID"/>
    <tableColumn id="2" name="Company"/>
    <tableColumn id="3" name="Segment"/>
    <tableColumn id="4" name="Source UR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amcor.com/" TargetMode="External"/><Relationship Id="rId2" Type="http://schemas.openxmlformats.org/officeDocument/2006/relationships/hyperlink" Target="https://aptar.com/" TargetMode="External"/><Relationship Id="rId3" Type="http://schemas.openxmlformats.org/officeDocument/2006/relationships/hyperlink" Target="https://www.aptar.com/" TargetMode="External"/><Relationship Id="rId4" Type="http://schemas.openxmlformats.org/officeDocument/2006/relationships/hyperlink" Target="https://www.adm.com/" TargetMode="External"/><Relationship Id="rId5" Type="http://schemas.openxmlformats.org/officeDocument/2006/relationships/hyperlink" Target="https://www.avantorsciences.com/" TargetMode="External"/><Relationship Id="rId6" Type="http://schemas.openxmlformats.org/officeDocument/2006/relationships/hyperlink" Target="https://bericap.com/" TargetMode="External"/><Relationship Id="rId7" Type="http://schemas.openxmlformats.org/officeDocument/2006/relationships/hyperlink" Target="https://bericap.com/" TargetMode="External"/><Relationship Id="rId8" Type="http://schemas.openxmlformats.org/officeDocument/2006/relationships/hyperlink" Target="https://berlinpackaging.eu/" TargetMode="External"/><Relationship Id="rId9" Type="http://schemas.openxmlformats.org/officeDocument/2006/relationships/hyperlink" Target="https://www.berryglobal.com/" TargetMode="External"/><Relationship Id="rId10" Type="http://schemas.openxmlformats.org/officeDocument/2006/relationships/hyperlink" Target="https://www.biesterfeld.com/" TargetMode="External"/><Relationship Id="rId11" Type="http://schemas.openxmlformats.org/officeDocument/2006/relationships/hyperlink" Target="https://www.cargill.com/pharmaceutical/pharma-products/glucose-monohydrates-dextrose" TargetMode="External"/><Relationship Id="rId12" Type="http://schemas.openxmlformats.org/officeDocument/2006/relationships/hyperlink" Target="https://www.cargill.com/" TargetMode="External"/><Relationship Id="rId13" Type="http://schemas.openxmlformats.org/officeDocument/2006/relationships/hyperlink" Target="https://www.chemcogroup.com/" TargetMode="External"/><Relationship Id="rId14" Type="http://schemas.openxmlformats.org/officeDocument/2006/relationships/hyperlink" Target="https://cflex.com/" TargetMode="External"/><Relationship Id="rId15" Type="http://schemas.openxmlformats.org/officeDocument/2006/relationships/hyperlink" Target="https://www.cosmos.com.mx/" TargetMode="External"/><Relationship Id="rId16" Type="http://schemas.openxmlformats.org/officeDocument/2006/relationships/hyperlink" Target="https://m.indiamart.com/crystal-poly/" TargetMode="External"/><Relationship Id="rId17" Type="http://schemas.openxmlformats.org/officeDocument/2006/relationships/hyperlink" Target="https://eicl.in/" TargetMode="External"/><Relationship Id="rId18" Type="http://schemas.openxmlformats.org/officeDocument/2006/relationships/hyperlink" Target="https://elchemy.com/" TargetMode="External"/><Relationship Id="rId19" Type="http://schemas.openxmlformats.org/officeDocument/2006/relationships/hyperlink" Target="https://www.esterindustries.com/" TargetMode="External"/><Relationship Id="rId20" Type="http://schemas.openxmlformats.org/officeDocument/2006/relationships/hyperlink" Target="https://www.garwarehitechfilms.com/" TargetMode="External"/><Relationship Id="rId21" Type="http://schemas.openxmlformats.org/officeDocument/2006/relationships/hyperlink" Target="https://www.gerresheimer.com/" TargetMode="External"/><Relationship Id="rId22" Type="http://schemas.openxmlformats.org/officeDocument/2006/relationships/hyperlink" Target="https://www.gualaclosures.com/" TargetMode="External"/><Relationship Id="rId23" Type="http://schemas.openxmlformats.org/officeDocument/2006/relationships/hyperlink" Target="https://www.ambujagroup.com/" TargetMode="External"/><Relationship Id="rId24" Type="http://schemas.openxmlformats.org/officeDocument/2006/relationships/hyperlink" Target="https://www.hawkinsinc.com/" TargetMode="External"/><Relationship Id="rId25" Type="http://schemas.openxmlformats.org/officeDocument/2006/relationships/hyperlink" Target="https://www.huhtamaki.com/en/flexible-packaging/about-us/india/" TargetMode="External"/><Relationship Id="rId26" Type="http://schemas.openxmlformats.org/officeDocument/2006/relationships/hyperlink" Target="https://www.ingredion.com/" TargetMode="External"/><Relationship Id="rId27" Type="http://schemas.openxmlformats.org/officeDocument/2006/relationships/hyperlink" Target="https://www.indoramaventures.com/en/worldwide/2001/ivl-dhunseri-petrochem-industries-private-limited" TargetMode="External"/><Relationship Id="rId28" Type="http://schemas.openxmlformats.org/officeDocument/2006/relationships/hyperlink" Target="https://www.jaysomnathstarch.in/" TargetMode="External"/><Relationship Id="rId29" Type="http://schemas.openxmlformats.org/officeDocument/2006/relationships/hyperlink" Target="https://www.jindalpoly.com/" TargetMode="External"/><Relationship Id="rId30" Type="http://schemas.openxmlformats.org/officeDocument/2006/relationships/hyperlink" Target="https://www.kwk.at/" TargetMode="External"/><Relationship Id="rId31" Type="http://schemas.openxmlformats.org/officeDocument/2006/relationships/hyperlink" Target="https://www.laballey.com/" TargetMode="External"/><Relationship Id="rId32" Type="http://schemas.openxmlformats.org/officeDocument/2006/relationships/hyperlink" Target="https://www.manjushreeindia.com/" TargetMode="External"/><Relationship Id="rId33" Type="http://schemas.openxmlformats.org/officeDocument/2006/relationships/hyperlink" Target="https://m.indiamart.com/markpack" TargetMode="External"/><Relationship Id="rId34" Type="http://schemas.openxmlformats.org/officeDocument/2006/relationships/hyperlink" Target="https://www.monarchchemicals.co.uk/" TargetMode="External"/><Relationship Id="rId35" Type="http://schemas.openxmlformats.org/officeDocument/2006/relationships/hyperlink" Target="https://www.nafed-india.com/" TargetMode="External"/><Relationship Id="rId36" Type="http://schemas.openxmlformats.org/officeDocument/2006/relationships/hyperlink" Target="https://nccf-india.com/" TargetMode="External"/><Relationship Id="rId37" Type="http://schemas.openxmlformats.org/officeDocument/2006/relationships/hyperlink" Target="https://m.indiamart.com/nishantmouldings" TargetMode="External"/><Relationship Id="rId38" Type="http://schemas.openxmlformats.org/officeDocument/2006/relationships/hyperlink" Target="https://www.nordmann.global/" TargetMode="External"/><Relationship Id="rId39" Type="http://schemas.openxmlformats.org/officeDocument/2006/relationships/hyperlink" Target="https://parleagro.com/" TargetMode="External"/><Relationship Id="rId40" Type="http://schemas.openxmlformats.org/officeDocument/2006/relationships/hyperlink" Target="https://pciplindia.com/" TargetMode="External"/><Relationship Id="rId41" Type="http://schemas.openxmlformats.org/officeDocument/2006/relationships/hyperlink" Target="https://www.petainer.com/" TargetMode="External"/><Relationship Id="rId42" Type="http://schemas.openxmlformats.org/officeDocument/2006/relationships/hyperlink" Target="https://www.polyplex.com/" TargetMode="External"/><Relationship Id="rId43" Type="http://schemas.openxmlformats.org/officeDocument/2006/relationships/hyperlink" Target="https://www.pranavplasticsindia.com/" TargetMode="External"/><Relationship Id="rId44" Type="http://schemas.openxmlformats.org/officeDocument/2006/relationships/hyperlink" Target="https://www.quadragroup.store/" TargetMode="External"/><Relationship Id="rId45" Type="http://schemas.openxmlformats.org/officeDocument/2006/relationships/hyperlink" Target="https://www.ramshreechemicals.in/" TargetMode="External"/><Relationship Id="rId46" Type="http://schemas.openxmlformats.org/officeDocument/2006/relationships/hyperlink" Target="https://regaalresources.com/" TargetMode="External"/><Relationship Id="rId47" Type="http://schemas.openxmlformats.org/officeDocument/2006/relationships/hyperlink" Target="https://www.ril.com/" TargetMode="External"/><Relationship Id="rId48" Type="http://schemas.openxmlformats.org/officeDocument/2006/relationships/hyperlink" Target="https://riddhisiddhi.co.in/" TargetMode="External"/><Relationship Id="rId49" Type="http://schemas.openxmlformats.org/officeDocument/2006/relationships/hyperlink" Target="https://www.roquette.com/" TargetMode="External"/><Relationship Id="rId50" Type="http://schemas.openxmlformats.org/officeDocument/2006/relationships/hyperlink" Target="https://www.roquette.com/" TargetMode="External"/><Relationship Id="rId51" Type="http://schemas.openxmlformats.org/officeDocument/2006/relationships/hyperlink" Target="https://www.maizeproducts.com/" TargetMode="External"/><Relationship Id="rId52" Type="http://schemas.openxmlformats.org/officeDocument/2006/relationships/hyperlink" Target="https://www.shethpet.in/" TargetMode="External"/><Relationship Id="rId53" Type="http://schemas.openxmlformats.org/officeDocument/2006/relationships/hyperlink" Target="https://m.indiamart.com/sibi-polymers/" TargetMode="External"/><Relationship Id="rId54" Type="http://schemas.openxmlformats.org/officeDocument/2006/relationships/hyperlink" Target="https://silgandispensing.com/" TargetMode="External"/><Relationship Id="rId55" Type="http://schemas.openxmlformats.org/officeDocument/2006/relationships/hyperlink" Target="https://m.indiamart.com/sonapetindustries" TargetMode="External"/><Relationship Id="rId56" Type="http://schemas.openxmlformats.org/officeDocument/2006/relationships/hyperlink" Target="https://www.srf.com/" TargetMode="External"/><Relationship Id="rId57" Type="http://schemas.openxmlformats.org/officeDocument/2006/relationships/hyperlink" Target="https://www.srf.com/" TargetMode="External"/><Relationship Id="rId58" Type="http://schemas.openxmlformats.org/officeDocument/2006/relationships/hyperlink" Target="https://www.srf.com/" TargetMode="External"/><Relationship Id="rId59" Type="http://schemas.openxmlformats.org/officeDocument/2006/relationships/hyperlink" Target="https://tekni-plex.com/" TargetMode="External"/><Relationship Id="rId60" Type="http://schemas.openxmlformats.org/officeDocument/2006/relationships/hyperlink" Target="https://www.tereos.com/" TargetMode="External"/><Relationship Id="rId61" Type="http://schemas.openxmlformats.org/officeDocument/2006/relationships/hyperlink" Target="https://www.sukhjitgroup.com/" TargetMode="External"/><Relationship Id="rId62" Type="http://schemas.openxmlformats.org/officeDocument/2006/relationships/hyperlink" Target="https://www.tianjiachem.com/" TargetMode="External"/><Relationship Id="rId63" Type="http://schemas.openxmlformats.org/officeDocument/2006/relationships/hyperlink" Target="https://www.tilleydistributionproducts.com/" TargetMode="External"/><Relationship Id="rId64" Type="http://schemas.openxmlformats.org/officeDocument/2006/relationships/hyperlink" Target="https://www.uflexltd.com/" TargetMode="External"/><Relationship Id="rId65" Type="http://schemas.openxmlformats.org/officeDocument/2006/relationships/hyperlink" Target="https://www.universalstarch.com/" TargetMode="External"/><Relationship Id="rId66" Type="http://schemas.openxmlformats.org/officeDocument/2006/relationships/hyperlink" Target="https://www.xenexlabs.com/" TargetMode="External"/><Relationship Id="rId67"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hyperlink" Target="https://www.roquette.com/" TargetMode="External"/><Relationship Id="rId2" Type="http://schemas.openxmlformats.org/officeDocument/2006/relationships/hyperlink" Target="https://www.ingredion.com/" TargetMode="External"/><Relationship Id="rId3" Type="http://schemas.openxmlformats.org/officeDocument/2006/relationships/hyperlink" Target="https://www.roquette.com/" TargetMode="External"/><Relationship Id="rId4" Type="http://schemas.openxmlformats.org/officeDocument/2006/relationships/hyperlink" Target="https://www.cargill.com/pharmaceutical/pharma-products/glucose-monohydrates-dextrose" TargetMode="External"/><Relationship Id="rId5" Type="http://schemas.openxmlformats.org/officeDocument/2006/relationships/hyperlink" Target="https://www.tereos.com/" TargetMode="External"/><Relationship Id="rId6" Type="http://schemas.openxmlformats.org/officeDocument/2006/relationships/hyperlink" Target="https://www.cargill.com/" TargetMode="External"/><Relationship Id="rId7" Type="http://schemas.openxmlformats.org/officeDocument/2006/relationships/hyperlink" Target="https://www.ambujagroup.com/" TargetMode="External"/><Relationship Id="rId8" Type="http://schemas.openxmlformats.org/officeDocument/2006/relationships/hyperlink" Target="https://www.maizeproducts.com/" TargetMode="External"/><Relationship Id="rId9" Type="http://schemas.openxmlformats.org/officeDocument/2006/relationships/hyperlink" Target="https://www.jaysomnathstarch.in/" TargetMode="External"/><Relationship Id="rId10" Type="http://schemas.openxmlformats.org/officeDocument/2006/relationships/hyperlink" Target="https://www.adm.com/" TargetMode="External"/><Relationship Id="rId11" Type="http://schemas.openxmlformats.org/officeDocument/2006/relationships/hyperlink" Target="https://www.ramshreechemicals.in/" TargetMode="External"/><Relationship Id="rId12" Type="http://schemas.openxmlformats.org/officeDocument/2006/relationships/hyperlink" Target="https://www.avantorsciences.com/" TargetMode="External"/><Relationship Id="rId13" Type="http://schemas.openxmlformats.org/officeDocument/2006/relationships/hyperlink" Target="https://www.biesterfeld.com/" TargetMode="External"/><Relationship Id="rId14" Type="http://schemas.openxmlformats.org/officeDocument/2006/relationships/hyperlink" Target="https://www.cosmos.com.mx/" TargetMode="External"/><Relationship Id="rId15" Type="http://schemas.openxmlformats.org/officeDocument/2006/relationships/hyperlink" Target="https://www.hawkinsinc.com/" TargetMode="External"/><Relationship Id="rId16" Type="http://schemas.openxmlformats.org/officeDocument/2006/relationships/hyperlink" Target="https://www.nordmann.global/" TargetMode="External"/><Relationship Id="rId17" Type="http://schemas.openxmlformats.org/officeDocument/2006/relationships/hyperlink" Target="https://www.laballey.com/" TargetMode="External"/><Relationship Id="rId18" Type="http://schemas.openxmlformats.org/officeDocument/2006/relationships/hyperlink" Target="https://www.quadragroup.store/" TargetMode="External"/><Relationship Id="rId19" Type="http://schemas.openxmlformats.org/officeDocument/2006/relationships/hyperlink" Target="https://www.tianjiachem.com/" TargetMode="External"/><Relationship Id="rId20" Type="http://schemas.openxmlformats.org/officeDocument/2006/relationships/hyperlink" Target="https://www.xenexlabs.com/" TargetMode="External"/><Relationship Id="rId21" Type="http://schemas.openxmlformats.org/officeDocument/2006/relationships/hyperlink" Target="https://www.tilleydistributionproducts.com/" TargetMode="External"/><Relationship Id="rId22" Type="http://schemas.openxmlformats.org/officeDocument/2006/relationships/hyperlink" Target="https://www.monarchchemicals.co.uk/" TargetMode="External"/><Relationship Id="rId23" Type="http://schemas.openxmlformats.org/officeDocument/2006/relationships/hyperlink" Target="https://elchemy.com/" TargetMode="External"/><Relationship Id="rId24" Type="http://schemas.openxmlformats.org/officeDocument/2006/relationships/hyperlink" Target="https://pciplindia.com/" TargetMode="External"/><Relationship Id="rId25" Type="http://schemas.openxmlformats.org/officeDocument/2006/relationships/hyperlink" Target="https://regaalresources.com/" TargetMode="External"/><Relationship Id="rId26" Type="http://schemas.openxmlformats.org/officeDocument/2006/relationships/hyperlink" Target="https://www.sukhjitgroup.com/" TargetMode="External"/><Relationship Id="rId27"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hyperlink" Target="https://www.ambujagroup.com/" TargetMode="External"/><Relationship Id="rId2" Type="http://schemas.openxmlformats.org/officeDocument/2006/relationships/hyperlink" Target="https://riddhisiddhi.co.in/" TargetMode="External"/><Relationship Id="rId3" Type="http://schemas.openxmlformats.org/officeDocument/2006/relationships/hyperlink" Target="https://www.roquette.com/" TargetMode="External"/><Relationship Id="rId4" Type="http://schemas.openxmlformats.org/officeDocument/2006/relationships/hyperlink" Target="https://www.universalstarch.com/" TargetMode="External"/><Relationship Id="rId5" Type="http://schemas.openxmlformats.org/officeDocument/2006/relationships/hyperlink" Target="https://www.sayajigroup.in/" TargetMode="External"/><Relationship Id="rId6" Type="http://schemas.openxmlformats.org/officeDocument/2006/relationships/hyperlink" Target="https://eicl.in/" TargetMode="External"/><Relationship Id="rId7" Type="http://schemas.openxmlformats.org/officeDocument/2006/relationships/hyperlink" Target="https://www.sukhjitgroup.com/" TargetMode="External"/><Relationship Id="rId8" Type="http://schemas.openxmlformats.org/officeDocument/2006/relationships/hyperlink" Target="https://www.nafed-india.com/" TargetMode="External"/><Relationship Id="rId9" Type="http://schemas.openxmlformats.org/officeDocument/2006/relationships/hyperlink" Target="https://nccf-india.com/" TargetMode="External"/><Relationship Id="rId10"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hyperlink" Target="https://www.ril.com/" TargetMode="External"/><Relationship Id="rId2" Type="http://schemas.openxmlformats.org/officeDocument/2006/relationships/hyperlink" Target="https://www.indoramaventures.com/en/worldwide/2001/ivl-dhunseri-petrochem-industries-private-limited" TargetMode="External"/><Relationship Id="rId3" Type="http://schemas.openxmlformats.org/officeDocument/2006/relationships/hyperlink" Target="https://www.chemcogroup.com/" TargetMode="External"/><Relationship Id="rId4"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hyperlink" Target="https://www.manjushreeindia.com/" TargetMode="External"/><Relationship Id="rId2" Type="http://schemas.openxmlformats.org/officeDocument/2006/relationships/hyperlink" Target="https://www.petainer.com/" TargetMode="External"/><Relationship Id="rId3" Type="http://schemas.openxmlformats.org/officeDocument/2006/relationships/hyperlink" Target="https://www.shethpet.in/" TargetMode="External"/><Relationship Id="rId4" Type="http://schemas.openxmlformats.org/officeDocument/2006/relationships/hyperlink" Target="https://www.pranavplasticsindia.com/" TargetMode="External"/><Relationship Id="rId5" Type="http://schemas.openxmlformats.org/officeDocument/2006/relationships/hyperlink" Target="https://m.indiamart.com/markpack" TargetMode="External"/><Relationship Id="rId6" Type="http://schemas.openxmlformats.org/officeDocument/2006/relationships/hyperlink" Target="https://m.indiamart.com/sibi-polymers/" TargetMode="External"/><Relationship Id="rId7" Type="http://schemas.openxmlformats.org/officeDocument/2006/relationships/hyperlink" Target="https://m.indiamart.com/sonapetindustries" TargetMode="External"/><Relationship Id="rId8" Type="http://schemas.openxmlformats.org/officeDocument/2006/relationships/hyperlink" Target="https://parleagro.com/" TargetMode="External"/><Relationship Id="rId9" Type="http://schemas.openxmlformats.org/officeDocument/2006/relationships/hyperlink" Target="https://m.indiamart.com/crystal-poly/" TargetMode="External"/><Relationship Id="rId10" Type="http://schemas.openxmlformats.org/officeDocument/2006/relationships/hyperlink" Target="https://m.indiamart.com/nishantmouldings" TargetMode="External"/><Relationship Id="rId11" Type="http://schemas.openxmlformats.org/officeDocument/2006/relationships/table" Target="../tables/table8.xml"/>
</Relationships>
</file>

<file path=xl/worksheets/_rels/sheet8.xml.rels><?xml version="1.0" encoding="UTF-8"?>
<Relationships xmlns="http://schemas.openxmlformats.org/package/2006/relationships"><Relationship Id="rId1" Type="http://schemas.openxmlformats.org/officeDocument/2006/relationships/hyperlink" Target="https://www.gerresheimer.com/" TargetMode="External"/><Relationship Id="rId2" Type="http://schemas.openxmlformats.org/officeDocument/2006/relationships/hyperlink" Target="https://bericap.com/" TargetMode="External"/><Relationship Id="rId3" Type="http://schemas.openxmlformats.org/officeDocument/2006/relationships/hyperlink" Target="https://www.berryglobal.com/" TargetMode="External"/><Relationship Id="rId4" Type="http://schemas.openxmlformats.org/officeDocument/2006/relationships/hyperlink" Target="https://www.aptar.com/" TargetMode="External"/><Relationship Id="rId5" Type="http://schemas.openxmlformats.org/officeDocument/2006/relationships/hyperlink" Target="https://berlinpackaging.eu/" TargetMode="External"/><Relationship Id="rId6" Type="http://schemas.openxmlformats.org/officeDocument/2006/relationships/hyperlink" Target="https://aptar.com/" TargetMode="External"/><Relationship Id="rId7" Type="http://schemas.openxmlformats.org/officeDocument/2006/relationships/hyperlink" Target="https://silgandispensing.com/" TargetMode="External"/><Relationship Id="rId8" Type="http://schemas.openxmlformats.org/officeDocument/2006/relationships/hyperlink" Target="https://bericap.com/" TargetMode="External"/><Relationship Id="rId9" Type="http://schemas.openxmlformats.org/officeDocument/2006/relationships/hyperlink" Target="https://www.manjushreeindia.com/" TargetMode="External"/><Relationship Id="rId10" Type="http://schemas.openxmlformats.org/officeDocument/2006/relationships/hyperlink" Target="https://www.gualaclosures.com/" TargetMode="External"/><Relationship Id="rId11" Type="http://schemas.openxmlformats.org/officeDocument/2006/relationships/hyperlink" Target="https://www.kwk.at/" TargetMode="External"/><Relationship Id="rId12" Type="http://schemas.openxmlformats.org/officeDocument/2006/relationships/hyperlink" Target="https://tekni-plex.com/" TargetMode="External"/><Relationship Id="rId13"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hyperlink" Target="https://www.polyplex.com/" TargetMode="External"/><Relationship Id="rId2" Type="http://schemas.openxmlformats.org/officeDocument/2006/relationships/hyperlink" Target="https://www.garwarehitechfilms.com/" TargetMode="External"/><Relationship Id="rId3" Type="http://schemas.openxmlformats.org/officeDocument/2006/relationships/hyperlink" Target="https://www.srf.com/" TargetMode="External"/><Relationship Id="rId4" Type="http://schemas.openxmlformats.org/officeDocument/2006/relationships/hyperlink" Target="https://www.esterindustries.com/" TargetMode="External"/><Relationship Id="rId5" Type="http://schemas.openxmlformats.org/officeDocument/2006/relationships/hyperlink" Target="https://www.jindalpoly.com/" TargetMode="External"/><Relationship Id="rId6" Type="http://schemas.openxmlformats.org/officeDocument/2006/relationships/hyperlink" Target="https://www.srf.com/" TargetMode="External"/><Relationship Id="rId7" Type="http://schemas.openxmlformats.org/officeDocument/2006/relationships/hyperlink" Target="https://www.srf.com/" TargetMode="External"/><Relationship Id="rId8"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hyperlink" Target="https://www.uflexltd.com/" TargetMode="External"/><Relationship Id="rId2" Type="http://schemas.openxmlformats.org/officeDocument/2006/relationships/hyperlink" Target="https://cflex.com/" TargetMode="External"/><Relationship Id="rId3" Type="http://schemas.openxmlformats.org/officeDocument/2006/relationships/hyperlink" Target="https://www.huhtamaki.com/en/flexible-packaging/about-us/india/" TargetMode="External"/><Relationship Id="rId4" Type="http://schemas.openxmlformats.org/officeDocument/2006/relationships/hyperlink" Target="https://www.amcor.com/" TargetMode="External"/><Relationship Id="rId5"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hyperlink" Target="https://www.ambujagroup.com/" TargetMode="External"/><Relationship Id="rId2" Type="http://schemas.openxmlformats.org/officeDocument/2006/relationships/hyperlink" Target="https://www.maizeproducts.com/" TargetMode="External"/><Relationship Id="rId3" Type="http://schemas.openxmlformats.org/officeDocument/2006/relationships/hyperlink" Target="https://www.jaysomnathstarch.in/" TargetMode="External"/><Relationship Id="rId4" Type="http://schemas.openxmlformats.org/officeDocument/2006/relationships/hyperlink" Target="https://www.roquette.com/" TargetMode="External"/><Relationship Id="rId5" Type="http://schemas.openxmlformats.org/officeDocument/2006/relationships/hyperlink" Target="https://www.ingredion.com/" TargetMode="External"/><Relationship Id="rId6" Type="http://schemas.openxmlformats.org/officeDocument/2006/relationships/hyperlink" Target="https://www.roquette.com/" TargetMode="External"/><Relationship Id="rId7" Type="http://schemas.openxmlformats.org/officeDocument/2006/relationships/hyperlink" Target="https://www.adm.com/" TargetMode="External"/><Relationship Id="rId8" Type="http://schemas.openxmlformats.org/officeDocument/2006/relationships/hyperlink" Target="https://www.avantorsciences.com/" TargetMode="External"/><Relationship Id="rId9" Type="http://schemas.openxmlformats.org/officeDocument/2006/relationships/hyperlink" Target="https://www.biesterfeld.com/" TargetMode="External"/><Relationship Id="rId10" Type="http://schemas.openxmlformats.org/officeDocument/2006/relationships/hyperlink" Target="https://www.cargill.com/pharmaceutical/pharma-products/glucose-monohydrates-dextrose" TargetMode="External"/><Relationship Id="rId11" Type="http://schemas.openxmlformats.org/officeDocument/2006/relationships/hyperlink" Target="https://www.cargill.com/" TargetMode="External"/><Relationship Id="rId12" Type="http://schemas.openxmlformats.org/officeDocument/2006/relationships/hyperlink" Target="https://www.cosmos.com.mx/" TargetMode="External"/><Relationship Id="rId13" Type="http://schemas.openxmlformats.org/officeDocument/2006/relationships/hyperlink" Target="https://www.hawkinsinc.com/" TargetMode="External"/><Relationship Id="rId14" Type="http://schemas.openxmlformats.org/officeDocument/2006/relationships/hyperlink" Target="https://www.nordmann.global/" TargetMode="External"/><Relationship Id="rId15" Type="http://schemas.openxmlformats.org/officeDocument/2006/relationships/hyperlink" Target="https://www.tereos.com/" TargetMode="External"/><Relationship Id="rId16" Type="http://schemas.openxmlformats.org/officeDocument/2006/relationships/hyperlink" Target="https://www.laballey.com/" TargetMode="External"/><Relationship Id="rId17" Type="http://schemas.openxmlformats.org/officeDocument/2006/relationships/hyperlink" Target="https://www.quadragroup.store/" TargetMode="External"/><Relationship Id="rId18" Type="http://schemas.openxmlformats.org/officeDocument/2006/relationships/hyperlink" Target="https://www.tianjiachem.com/" TargetMode="External"/><Relationship Id="rId19" Type="http://schemas.openxmlformats.org/officeDocument/2006/relationships/hyperlink" Target="https://www.xenexlabs.com/" TargetMode="External"/><Relationship Id="rId20" Type="http://schemas.openxmlformats.org/officeDocument/2006/relationships/hyperlink" Target="https://regaalresources.com/" TargetMode="External"/><Relationship Id="rId21" Type="http://schemas.openxmlformats.org/officeDocument/2006/relationships/hyperlink" Target="https://www.tilleydistributionproducts.com/" TargetMode="External"/><Relationship Id="rId22" Type="http://schemas.openxmlformats.org/officeDocument/2006/relationships/hyperlink" Target="https://www.monarchchemicals.co.uk/" TargetMode="External"/><Relationship Id="rId23" Type="http://schemas.openxmlformats.org/officeDocument/2006/relationships/hyperlink" Target="https://www.sukhjitgroup.com/" TargetMode="External"/><Relationship Id="rId24" Type="http://schemas.openxmlformats.org/officeDocument/2006/relationships/hyperlink" Target="https://elchemy.com/" TargetMode="External"/><Relationship Id="rId25" Type="http://schemas.openxmlformats.org/officeDocument/2006/relationships/hyperlink" Target="https://pciplindia.com/" TargetMode="External"/><Relationship Id="rId26" Type="http://schemas.openxmlformats.org/officeDocument/2006/relationships/hyperlink" Target="https://www.ramshreechemicals.in/" TargetMode="External"/><Relationship Id="rId27" Type="http://schemas.openxmlformats.org/officeDocument/2006/relationships/hyperlink" Target="https://www.ambujagroup.com/" TargetMode="External"/><Relationship Id="rId28" Type="http://schemas.openxmlformats.org/officeDocument/2006/relationships/hyperlink" Target="https://riddhisiddhi.co.in/" TargetMode="External"/><Relationship Id="rId29" Type="http://schemas.openxmlformats.org/officeDocument/2006/relationships/hyperlink" Target="https://www.roquette.com/" TargetMode="External"/><Relationship Id="rId30" Type="http://schemas.openxmlformats.org/officeDocument/2006/relationships/hyperlink" Target="https://www.universalstarch.com/" TargetMode="External"/><Relationship Id="rId31" Type="http://schemas.openxmlformats.org/officeDocument/2006/relationships/hyperlink" Target="https://www.sayajigroup.in/" TargetMode="External"/><Relationship Id="rId32" Type="http://schemas.openxmlformats.org/officeDocument/2006/relationships/hyperlink" Target="https://eicl.in/" TargetMode="External"/><Relationship Id="rId33" Type="http://schemas.openxmlformats.org/officeDocument/2006/relationships/hyperlink" Target="https://www.sukhjitgroup.com/" TargetMode="External"/><Relationship Id="rId34" Type="http://schemas.openxmlformats.org/officeDocument/2006/relationships/hyperlink" Target="https://www.nafed-india.com/" TargetMode="External"/><Relationship Id="rId35" Type="http://schemas.openxmlformats.org/officeDocument/2006/relationships/hyperlink" Target="https://nccf-india.com/" TargetMode="External"/><Relationship Id="rId36" Type="http://schemas.openxmlformats.org/officeDocument/2006/relationships/hyperlink" Target="https://www.ril.com/" TargetMode="External"/><Relationship Id="rId37" Type="http://schemas.openxmlformats.org/officeDocument/2006/relationships/hyperlink" Target="https://www.chemcogroup.com/" TargetMode="External"/><Relationship Id="rId38" Type="http://schemas.openxmlformats.org/officeDocument/2006/relationships/hyperlink" Target="https://www.indoramaventures.com/en/worldwide/2001/ivl-dhunseri-petrochem-industries-private-limited" TargetMode="External"/><Relationship Id="rId39" Type="http://schemas.openxmlformats.org/officeDocument/2006/relationships/hyperlink" Target="https://www.shethpet.in/" TargetMode="External"/><Relationship Id="rId40" Type="http://schemas.openxmlformats.org/officeDocument/2006/relationships/hyperlink" Target="https://www.pranavplasticsindia.com/" TargetMode="External"/><Relationship Id="rId41" Type="http://schemas.openxmlformats.org/officeDocument/2006/relationships/hyperlink" Target="https://m.indiamart.com/markpack" TargetMode="External"/><Relationship Id="rId42" Type="http://schemas.openxmlformats.org/officeDocument/2006/relationships/hyperlink" Target="https://m.indiamart.com/sibi-polymers/" TargetMode="External"/><Relationship Id="rId43" Type="http://schemas.openxmlformats.org/officeDocument/2006/relationships/hyperlink" Target="https://www.manjushreeindia.com/" TargetMode="External"/><Relationship Id="rId44" Type="http://schemas.openxmlformats.org/officeDocument/2006/relationships/hyperlink" Target="https://www.petainer.com/" TargetMode="External"/><Relationship Id="rId45" Type="http://schemas.openxmlformats.org/officeDocument/2006/relationships/hyperlink" Target="https://m.indiamart.com/sonapetindustries" TargetMode="External"/><Relationship Id="rId46" Type="http://schemas.openxmlformats.org/officeDocument/2006/relationships/hyperlink" Target="https://parleagro.com/" TargetMode="External"/><Relationship Id="rId47" Type="http://schemas.openxmlformats.org/officeDocument/2006/relationships/hyperlink" Target="https://m.indiamart.com/crystal-poly/" TargetMode="External"/><Relationship Id="rId48" Type="http://schemas.openxmlformats.org/officeDocument/2006/relationships/hyperlink" Target="https://m.indiamart.com/nishantmouldings" TargetMode="External"/><Relationship Id="rId49" Type="http://schemas.openxmlformats.org/officeDocument/2006/relationships/hyperlink" Target="https://aptar.com/" TargetMode="External"/><Relationship Id="rId50" Type="http://schemas.openxmlformats.org/officeDocument/2006/relationships/hyperlink" Target="https://bericap.com/" TargetMode="External"/><Relationship Id="rId51" Type="http://schemas.openxmlformats.org/officeDocument/2006/relationships/hyperlink" Target="https://www.gerresheimer.com/" TargetMode="External"/><Relationship Id="rId52" Type="http://schemas.openxmlformats.org/officeDocument/2006/relationships/hyperlink" Target="https://www.manjushreeindia.com/" TargetMode="External"/><Relationship Id="rId53" Type="http://schemas.openxmlformats.org/officeDocument/2006/relationships/hyperlink" Target="https://bericap.com/" TargetMode="External"/><Relationship Id="rId54" Type="http://schemas.openxmlformats.org/officeDocument/2006/relationships/hyperlink" Target="https://www.berryglobal.com/" TargetMode="External"/><Relationship Id="rId55" Type="http://schemas.openxmlformats.org/officeDocument/2006/relationships/hyperlink" Target="https://www.gualaclosures.com/" TargetMode="External"/><Relationship Id="rId56" Type="http://schemas.openxmlformats.org/officeDocument/2006/relationships/hyperlink" Target="https://www.kwk.at/" TargetMode="External"/><Relationship Id="rId57" Type="http://schemas.openxmlformats.org/officeDocument/2006/relationships/hyperlink" Target="https://tekni-plex.com/" TargetMode="External"/><Relationship Id="rId58" Type="http://schemas.openxmlformats.org/officeDocument/2006/relationships/hyperlink" Target="https://www.aptar.com/" TargetMode="External"/><Relationship Id="rId59" Type="http://schemas.openxmlformats.org/officeDocument/2006/relationships/hyperlink" Target="https://berlinpackaging.eu/" TargetMode="External"/><Relationship Id="rId60" Type="http://schemas.openxmlformats.org/officeDocument/2006/relationships/hyperlink" Target="https://silgandispensing.com/" TargetMode="External"/><Relationship Id="rId61" Type="http://schemas.openxmlformats.org/officeDocument/2006/relationships/hyperlink" Target="https://www.polyplex.com/" TargetMode="External"/><Relationship Id="rId62" Type="http://schemas.openxmlformats.org/officeDocument/2006/relationships/hyperlink" Target="https://www.garwarehitechfilms.com/" TargetMode="External"/><Relationship Id="rId63" Type="http://schemas.openxmlformats.org/officeDocument/2006/relationships/hyperlink" Target="https://www.srf.com/" TargetMode="External"/><Relationship Id="rId64" Type="http://schemas.openxmlformats.org/officeDocument/2006/relationships/hyperlink" Target="https://www.esterindustries.com/" TargetMode="External"/><Relationship Id="rId65" Type="http://schemas.openxmlformats.org/officeDocument/2006/relationships/hyperlink" Target="https://www.jindalpoly.com/" TargetMode="External"/><Relationship Id="rId66" Type="http://schemas.openxmlformats.org/officeDocument/2006/relationships/hyperlink" Target="https://www.srf.com/" TargetMode="External"/><Relationship Id="rId67" Type="http://schemas.openxmlformats.org/officeDocument/2006/relationships/hyperlink" Target="https://www.srf.com/" TargetMode="External"/><Relationship Id="rId68" Type="http://schemas.openxmlformats.org/officeDocument/2006/relationships/hyperlink" Target="https://cflex.com/" TargetMode="External"/><Relationship Id="rId69" Type="http://schemas.openxmlformats.org/officeDocument/2006/relationships/hyperlink" Target="https://www.huhtamaki.com/en/flexible-packaging/about-us/india/" TargetMode="External"/><Relationship Id="rId70" Type="http://schemas.openxmlformats.org/officeDocument/2006/relationships/hyperlink" Target="https://www.uflexltd.com/" TargetMode="External"/><Relationship Id="rId71" Type="http://schemas.openxmlformats.org/officeDocument/2006/relationships/hyperlink" Target="https://www.amcor.com/" TargetMode="External"/><Relationship Id="rId72"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hyperlink" Target="https://www.dial4trade.com/ahimsa-industries/pet-preforms-pdid-744484.htm" TargetMode="External"/><Relationship Id="rId2" Type="http://schemas.openxmlformats.org/officeDocument/2006/relationships/hyperlink" Target="https://petpla.net/wikipetia/index.php/Ahmisa_Industries_Limited" TargetMode="External"/><Relationship Id="rId3" Type="http://schemas.openxmlformats.org/officeDocument/2006/relationships/hyperlink" Target="https://packagingsouthasia.com/packaging-production/amcor-india-opens-seventh-plant-in-india-at-bharuch" TargetMode="External"/><Relationship Id="rId4" Type="http://schemas.openxmlformats.org/officeDocument/2006/relationships/hyperlink" Target="https://www.packaging-gateway.com/news/amcor-acquire-phoenix-flexibles/" TargetMode="External"/><Relationship Id="rId5" Type="http://schemas.openxmlformats.org/officeDocument/2006/relationships/hyperlink" Target="https://esmmagazine.com/packaging-design/amcor-acquires-flexible-packaging-plant-in-india-247427" TargetMode="External"/><Relationship Id="rId6" Type="http://schemas.openxmlformats.org/officeDocument/2006/relationships/hyperlink" Target="https://www.petnology.com/online/news-detail/amcor-announces-acquisition-of-scalable-flexible-packaging-plant-in-high-growth-indian-market" TargetMode="External"/><Relationship Id="rId7" Type="http://schemas.openxmlformats.org/officeDocument/2006/relationships/hyperlink" Target="https://pharmaoffer.com/api-excipient-supplier/dextrose-anhydrate/cep" TargetMode="External"/><Relationship Id="rId8" Type="http://schemas.openxmlformats.org/officeDocument/2006/relationships/hyperlink" Target="https://m.indiamart.com/aptar/aboutus.html" TargetMode="External"/><Relationship Id="rId9" Type="http://schemas.openxmlformats.org/officeDocument/2006/relationships/hyperlink" Target="https://www.indianpharmapost.com/news/aptar-expands-mumbai-operations-as-it-adds-local-production-of-pharma-inhalation-tech-22137" TargetMode="External"/><Relationship Id="rId10" Type="http://schemas.openxmlformats.org/officeDocument/2006/relationships/hyperlink" Target="https://www.packaginginsights.com/news/aptar-pharma-expands-presence-in-india.html" TargetMode="External"/><Relationship Id="rId11" Type="http://schemas.openxmlformats.org/officeDocument/2006/relationships/hyperlink" Target="https://www.aptar.com/pharmaceutical/technologies/child-resistant-senior-friendly/" TargetMode="External"/><Relationship Id="rId12" Type="http://schemas.openxmlformats.org/officeDocument/2006/relationships/hyperlink" Target="https://www.tilleydistributionproducts.com/products/clintose-dextrose-a" TargetMode="External"/><Relationship Id="rId13" Type="http://schemas.openxmlformats.org/officeDocument/2006/relationships/hyperlink" Target="https://tilleydistributionproducts.com/products/clintose-dextrose-vf" TargetMode="External"/><Relationship Id="rId14" Type="http://schemas.openxmlformats.org/officeDocument/2006/relationships/hyperlink" Target="https://knowde.com/stores/adm/products/adm-dextrose-monohydrate" TargetMode="External"/><Relationship Id="rId15" Type="http://schemas.openxmlformats.org/officeDocument/2006/relationships/hyperlink" Target="https://pharmaoffer.com/api-excipient-supplier/dextrose-anhydrate/cep" TargetMode="External"/><Relationship Id="rId16" Type="http://schemas.openxmlformats.org/officeDocument/2006/relationships/hyperlink" Target="https://b2b-ca.vwr.com/store/product/en/4541456/dextrose-anhydrous-97-5-102-0-by-anhydrous-basis-usp-multi-compendial-j-t-baker" TargetMode="External"/><Relationship Id="rId17" Type="http://schemas.openxmlformats.org/officeDocument/2006/relationships/hyperlink" Target="https://b2b-us.vwr.com/store/product/4541456/null" TargetMode="External"/><Relationship Id="rId18" Type="http://schemas.openxmlformats.org/officeDocument/2006/relationships/hyperlink" Target="https://b2b-cn.vwr.com/store/product/8030185/null" TargetMode="External"/><Relationship Id="rId19" Type="http://schemas.openxmlformats.org/officeDocument/2006/relationships/hyperlink" Target="https://www.avantorsciences.com/pt/en/search/USLP070318BIOP00008" TargetMode="External"/><Relationship Id="rId20" Type="http://schemas.openxmlformats.org/officeDocument/2006/relationships/hyperlink" Target="https://bericap.com/home-care-pharma-supplies/landingpage-otc-pharmaceuticals/" TargetMode="External"/><Relationship Id="rId21" Type="http://schemas.openxmlformats.org/officeDocument/2006/relationships/hyperlink" Target="https://www.packaging-gateway.com/products/bericap-closure-solutions-home-care-pharma-supplies/" TargetMode="External"/><Relationship Id="rId22" Type="http://schemas.openxmlformats.org/officeDocument/2006/relationships/hyperlink" Target="https://packagingeurope.com/bericap-presents-closure-solutions-at-packaging-innovations/5782.article" TargetMode="External"/><Relationship Id="rId23" Type="http://schemas.openxmlformats.org/officeDocument/2006/relationships/hyperlink" Target="https://www.InstaFinancials.com/company/bericap-india-private-limited/U25202PN2001PTC140929" TargetMode="External"/><Relationship Id="rId24" Type="http://schemas.openxmlformats.org/officeDocument/2006/relationships/hyperlink" Target="https://www.plasticsnews.com/article/20180828/NEWS/180829902/bericap-doubling-india-plant/" TargetMode="External"/><Relationship Id="rId25" Type="http://schemas.openxmlformats.org/officeDocument/2006/relationships/hyperlink" Target="https://www.plastemart.com/news-plastics-information/bericap-to-acquire-essel-propack&#180;s-share-in-indian-jv/8930" TargetMode="External"/><Relationship Id="rId26" Type="http://schemas.openxmlformats.org/officeDocument/2006/relationships/hyperlink" Target="https://bericap.com/product/hc-ev-28-27-pco-1881/" TargetMode="External"/><Relationship Id="rId27" Type="http://schemas.openxmlformats.org/officeDocument/2006/relationships/hyperlink" Target="https://berlinpackaging.eu/en-be/markets/healthcare/packaging/child-resistant-closures" TargetMode="External"/><Relationship Id="rId28" Type="http://schemas.openxmlformats.org/officeDocument/2006/relationships/hyperlink" Target="https://www.berryglobal.com/en/product/product-item/13191479" TargetMode="External"/><Relationship Id="rId29" Type="http://schemas.openxmlformats.org/officeDocument/2006/relationships/hyperlink" Target="https://www.berryglobal.com/en/product/product-item/13567185" TargetMode="External"/><Relationship Id="rId30" Type="http://schemas.openxmlformats.org/officeDocument/2006/relationships/hyperlink" Target="https://packagingeurope.com/news/berry-global-offers-range-of-pet-bottle-and-closure-solutions-for-child-safe-and-tamper-evident-medicine-packaging/9429.article" TargetMode="External"/><Relationship Id="rId31" Type="http://schemas.openxmlformats.org/officeDocument/2006/relationships/hyperlink" Target="https://packagingscotland.com/2023/02/berry-group-healthcare-launches-comprehensive-new-child-resistant-range/" TargetMode="External"/><Relationship Id="rId32" Type="http://schemas.openxmlformats.org/officeDocument/2006/relationships/hyperlink" Target="https://www.sec.gov/Archives/edgar/data/0001378992/000137899218000039/form10k.htm" TargetMode="External"/><Relationship Id="rId33" Type="http://schemas.openxmlformats.org/officeDocument/2006/relationships/hyperlink" Target="https://www.biesterfeld.com/en/gb/product/dextrose-glucose" TargetMode="External"/><Relationship Id="rId34" Type="http://schemas.openxmlformats.org/officeDocument/2006/relationships/hyperlink" Target="https://www.biesterfeld.com/en/at/product/dextrose-glucose/" TargetMode="External"/><Relationship Id="rId35" Type="http://schemas.openxmlformats.org/officeDocument/2006/relationships/hyperlink" Target="https://pharmaoffer.com/api-excipient-supplier/excipients/glucose-monohydrate/cep" TargetMode="External"/><Relationship Id="rId36" Type="http://schemas.openxmlformats.org/officeDocument/2006/relationships/hyperlink" Target="https://pharmaoffer.com/api-excipient-supplier/glucose-monohydrate/cep" TargetMode="External"/><Relationship Id="rId37" Type="http://schemas.openxmlformats.org/officeDocument/2006/relationships/hyperlink" Target="https://www.cargill.com/pharmaceutical/pharma-products/glucose-monohydrates-dextrose" TargetMode="External"/><Relationship Id="rId38" Type="http://schemas.openxmlformats.org/officeDocument/2006/relationships/hyperlink" Target="https://www.cargill.com/products/pharmaceutical/products/glucose-monohydrates/" TargetMode="External"/><Relationship Id="rId39" Type="http://schemas.openxmlformats.org/officeDocument/2006/relationships/hyperlink" Target="https://pharmacompass.com/ndc-api/cargill-slu" TargetMode="External"/><Relationship Id="rId40" Type="http://schemas.openxmlformats.org/officeDocument/2006/relationships/hyperlink" Target="https://www.cargill.com/food-bev/emea/c-dex-dextrose" TargetMode="External"/><Relationship Id="rId41" Type="http://schemas.openxmlformats.org/officeDocument/2006/relationships/hyperlink" Target="https://www.cargill.com/food-bev/ap/dextrose" TargetMode="External"/><Relationship Id="rId42" Type="http://schemas.openxmlformats.org/officeDocument/2006/relationships/hyperlink" Target="https://www.packaginginsights.com/news/chemco-pet-bottle-recycling-india.html" TargetMode="External"/><Relationship Id="rId43" Type="http://schemas.openxmlformats.org/officeDocument/2006/relationships/hyperlink" Target="https://www.plastemart.com/news-plastics-information/chemco-group-pioneering-circularity-with-in-house-rpet-production/75112" TargetMode="External"/><Relationship Id="rId44" Type="http://schemas.openxmlformats.org/officeDocument/2006/relationships/hyperlink" Target="https://www.industrialautomationindia.in/news/chemco-group-food-grade-rpet-facility-sanand" TargetMode="External"/><Relationship Id="rId45" Type="http://schemas.openxmlformats.org/officeDocument/2006/relationships/hyperlink" Target="https://themachinemaker.com/news/chemco-group-launches-&#8377;125-crore-food-grade-rpet-bottle-recycling-plant-in-gujarat/" TargetMode="External"/><Relationship Id="rId46" Type="http://schemas.openxmlformats.org/officeDocument/2006/relationships/hyperlink" Target="https://packagingsouthasia.com/type-of-article/industry-news/chemco-gets-fssai-nod/" TargetMode="External"/><Relationship Id="rId47" Type="http://schemas.openxmlformats.org/officeDocument/2006/relationships/hyperlink" Target="https://m.indiamart.com/chemcoplastic" TargetMode="External"/><Relationship Id="rId48" Type="http://schemas.openxmlformats.org/officeDocument/2006/relationships/hyperlink" Target="https://www.packaging-gateway.com/news/chemco-gujarat-rpet-recycling-plant/" TargetMode="External"/><Relationship Id="rId49" Type="http://schemas.openxmlformats.org/officeDocument/2006/relationships/hyperlink" Target="https://pharmaoffer.com/api-excipient-supplier/excipients/glucose-monohydrate/cep" TargetMode="External"/><Relationship Id="rId50" Type="http://schemas.openxmlformats.org/officeDocument/2006/relationships/hyperlink" Target="https://pharmaoffer.com/api-excipient-supplier/glucose-monohydrate/cep" TargetMode="External"/><Relationship Id="rId51" Type="http://schemas.openxmlformats.org/officeDocument/2006/relationships/hyperlink" Target="https://www.packaginginsights.com/news/closure-systems-international-child-resistant-closure.html" TargetMode="External"/><Relationship Id="rId52" Type="http://schemas.openxmlformats.org/officeDocument/2006/relationships/hyperlink" Target="https://www.silicon.co.uk/press-release/closure-systems-international-launches-defender-lok-crc-product-line" TargetMode="External"/><Relationship Id="rId53" Type="http://schemas.openxmlformats.org/officeDocument/2006/relationships/hyperlink" Target="https://finance.yahoo.com/news/closure-systems-international-introduces-child-142709276.html" TargetMode="External"/><Relationship Id="rId54" Type="http://schemas.openxmlformats.org/officeDocument/2006/relationships/hyperlink" Target="https://www.healthcarepackaging.com/industries/pharmaceuticals/press-release/13287374/comar-childresistant-closures" TargetMode="External"/><Relationship Id="rId55" Type="http://schemas.openxmlformats.org/officeDocument/2006/relationships/hyperlink" Target="https://app.qualifyze.com/directory/supplier/comar-71f904da" TargetMode="External"/><Relationship Id="rId56" Type="http://schemas.openxmlformats.org/officeDocument/2006/relationships/hyperlink" Target="https://directory.designnews.com/comar-inc-comp225738.html" TargetMode="External"/><Relationship Id="rId57" Type="http://schemas.openxmlformats.org/officeDocument/2006/relationships/hyperlink" Target="https://cflex.com/newsroom/constantia-flexibles-to-expand-production-capacity-in-india" TargetMode="External"/><Relationship Id="rId58" Type="http://schemas.openxmlformats.org/officeDocument/2006/relationships/hyperlink" Target="https://www.printweek.in/News/constantia-flexibles-invest-rs-100-crore-ahmedabad-plant-28024" TargetMode="External"/><Relationship Id="rId59" Type="http://schemas.openxmlformats.org/officeDocument/2006/relationships/hyperlink" Target="https://packagingsouthasia.com/packaging-production/constantia-flexibles-to-invest-inr-100-crore-in-a-new-india-plant/" TargetMode="External"/><Relationship Id="rId60" Type="http://schemas.openxmlformats.org/officeDocument/2006/relationships/hyperlink" Target="https://www.dcatvci.org/?p=6358" TargetMode="External"/><Relationship Id="rId61" Type="http://schemas.openxmlformats.org/officeDocument/2006/relationships/hyperlink" Target="https://www.packaging-gateway.com/news/constantia-flexibles-expand-production-capacity-indian-facility/" TargetMode="External"/><Relationship Id="rId62" Type="http://schemas.openxmlformats.org/officeDocument/2006/relationships/hyperlink" Target="https://www.packaging-gateway.com/projects/parikhpackagingfacil/" TargetMode="External"/><Relationship Id="rId63" Type="http://schemas.openxmlformats.org/officeDocument/2006/relationships/hyperlink" Target="https://www.cosmos.com.mx/producto/dextrosa-4bfp/dextrosa-anhidra-d7jd/dextrosa-anhidra-grado-farmaceutico-ddbs/" TargetMode="External"/><Relationship Id="rId64" Type="http://schemas.openxmlformats.org/officeDocument/2006/relationships/hyperlink" Target="https://m.indiamart.com/crystal-poly/profile.html" TargetMode="External"/><Relationship Id="rId65" Type="http://schemas.openxmlformats.org/officeDocument/2006/relationships/hyperlink" Target="https://pharmacompass.com/us-drug-master-files-dmfs/anhydrous-dextrose" TargetMode="External"/><Relationship Id="rId66" Type="http://schemas.openxmlformats.org/officeDocument/2006/relationships/hyperlink" Target="https://www.pharmacompass.com/about/cspc-shengxue-glucose" TargetMode="External"/><Relationship Id="rId67" Type="http://schemas.openxmlformats.org/officeDocument/2006/relationships/hyperlink" Target="https://doc.irasia.com/listco/hk/cspc/annual/2018/screspress.pdf" TargetMode="External"/><Relationship Id="rId68" Type="http://schemas.openxmlformats.org/officeDocument/2006/relationships/hyperlink" Target="https://www.erema.com/en/public-relations-news/dalmia-polypro-to-install-erema-systems-for-pet-und-fuer-po-recycling--3233/" TargetMode="External"/><Relationship Id="rId69" Type="http://schemas.openxmlformats.org/officeDocument/2006/relationships/hyperlink" Target="https://packagingsouthasia.com/application/dalmia-polypros-food-grade/" TargetMode="External"/><Relationship Id="rId70" Type="http://schemas.openxmlformats.org/officeDocument/2006/relationships/hyperlink" Target="https://www.outlookbusiness.com/news/dalmia-polypro-to-raise-usd-30-mn-from-us-dfc-to-build-facility-in-maharashtra" TargetMode="External"/><Relationship Id="rId71" Type="http://schemas.openxmlformats.org/officeDocument/2006/relationships/hyperlink" Target="https://www.circulatecapital.com/wp-content/uploads/2022/12/DalmiaPolyproIndustriesPL-x-CC_-Press-Release_2020-12-10-.pdf" TargetMode="External"/><Relationship Id="rId72" Type="http://schemas.openxmlformats.org/officeDocument/2006/relationships/hyperlink" Target="https://www.packaging-gateway.com/news/slmg-dalmia-india-plant/" TargetMode="External"/><Relationship Id="rId73" Type="http://schemas.openxmlformats.org/officeDocument/2006/relationships/hyperlink" Target="https://trademarks.justia.com/owners/drug-plastics-glass-company-inc-135913" TargetMode="External"/><Relationship Id="rId74" Type="http://schemas.openxmlformats.org/officeDocument/2006/relationships/hyperlink" Target="https://www.pharmaceutical-tech.com/suppliers/drug-plastics-glass-co-inc" TargetMode="External"/><Relationship Id="rId75" Type="http://schemas.openxmlformats.org/officeDocument/2006/relationships/hyperlink" Target="https://niemagazine.com/resources/sourcebook/6455/drug-plastics-glass-co-inc/" TargetMode="External"/><Relationship Id="rId76" Type="http://schemas.openxmlformats.org/officeDocument/2006/relationships/hyperlink" Target="https://eicl.in/?p=284" TargetMode="External"/><Relationship Id="rId77" Type="http://schemas.openxmlformats.org/officeDocument/2006/relationships/hyperlink" Target="https://eicl.in/?p=572" TargetMode="External"/><Relationship Id="rId78" Type="http://schemas.openxmlformats.org/officeDocument/2006/relationships/hyperlink" Target="https://elchemy.com/product/dextrose-monohydrate-1509" TargetMode="External"/><Relationship Id="rId79" Type="http://schemas.openxmlformats.org/officeDocument/2006/relationships/hyperlink" Target="https://www.crisil.com/mnt/winshare/Ratings/RatingList/RatingDocs/EsterIndustriesLimited_July%2022_%202025_RR_374336.html" TargetMode="External"/><Relationship Id="rId80" Type="http://schemas.openxmlformats.org/officeDocument/2006/relationships/hyperlink" Target="https://www.crisil.com/mnt/winshare/Ratings/RatingList/RatingDocs/EsterIndustriesLimited_May%2013_%202024_RR_343559.html" TargetMode="External"/><Relationship Id="rId81" Type="http://schemas.openxmlformats.org/officeDocument/2006/relationships/hyperlink" Target="https://nsearchives.nseindia.com/corporate/GANECOS_03092025232921_annual_report.pdf" TargetMode="External"/><Relationship Id="rId82" Type="http://schemas.openxmlformats.org/officeDocument/2006/relationships/hyperlink" Target="https://recyclinginside.com/news/bottle-to-fibre-and-bottle-to-bottle-two-starlinger-pet-recycling-lines-for-indian-recycling-brand-go-rewise/" TargetMode="External"/><Relationship Id="rId83" Type="http://schemas.openxmlformats.org/officeDocument/2006/relationships/hyperlink" Target="https://www.wasterecyclingmag.com/news/plastic-recycling/bottle-to-fibre-and-bottle-to-bottle-two-starlinger-pet-recycling-lines-for-indian-recycling-brand-go-rewise" TargetMode="External"/><Relationship Id="rId84" Type="http://schemas.openxmlformats.org/officeDocument/2006/relationships/hyperlink" Target="https://www.innovationintextiles.com/trailblazing-pet-recycling-in-india" TargetMode="External"/><Relationship Id="rId85" Type="http://schemas.openxmlformats.org/officeDocument/2006/relationships/hyperlink" Target="https://machinist.in/2025/09/garware-hi-tech-films-starts-commercial-production-of-new-ppf-line-at-waluj-facility/" TargetMode="External"/><Relationship Id="rId86" Type="http://schemas.openxmlformats.org/officeDocument/2006/relationships/hyperlink" Target="https://www.garwarehitechfilms.com/wp-content/uploads/2023/03/Investors-Presentation-May-2021.pdf.pdf" TargetMode="External"/><Relationship Id="rId87" Type="http://schemas.openxmlformats.org/officeDocument/2006/relationships/hyperlink" Target="https://gerresheimer.com/en/company/newsroom/corporate-news/detail/cphi-india-gerresheimer-customers-value-child-resistant-pharmaceutical-packaging-1" TargetMode="External"/><Relationship Id="rId88" Type="http://schemas.openxmlformats.org/officeDocument/2006/relationships/hyperlink" Target="https://manufacturingchemist.com/global-closure-systems-gcs-launches-pharmasafe-child-resistant-closure-91334" TargetMode="External"/><Relationship Id="rId89" Type="http://schemas.openxmlformats.org/officeDocument/2006/relationships/hyperlink" Target="https://www.healthcarepackaging.com/home/press-release/13290585/global-closure-systems-exhibits-at-pharmapack-europe-2016" TargetMode="External"/><Relationship Id="rId90" Type="http://schemas.openxmlformats.org/officeDocument/2006/relationships/hyperlink" Target="https://pharmtech.com/view/global-closure-systems-exhibits-cphi-2015" TargetMode="External"/><Relationship Id="rId91" Type="http://schemas.openxmlformats.org/officeDocument/2006/relationships/hyperlink" Target="https://www.plasteurope.com/news/GLOBAL_CLOSURE_SYSTEMS_t228478" TargetMode="External"/><Relationship Id="rId92" Type="http://schemas.openxmlformats.org/officeDocument/2006/relationships/hyperlink" Target="https://www.gualaclosures.com/pharma" TargetMode="External"/><Relationship Id="rId93" Type="http://schemas.openxmlformats.org/officeDocument/2006/relationships/hyperlink" Target="https://www.gualaclosures.com/sites/default/files/files/allegati/2025-10/PR%20-%20GUALA%20CLOSURES%20ENTERS%20INTO%20PHARMACEUTICAL%20CLOSURES%20MARKET%20_%20Final.pdf" TargetMode="External"/><Relationship Id="rId94" Type="http://schemas.openxmlformats.org/officeDocument/2006/relationships/hyperlink" Target="https://www.gualaclosures.com/guala-closures-pharmapack-kwk-strengthening-its-presence-pharmaceutical-sector" TargetMode="External"/><Relationship Id="rId95" Type="http://schemas.openxmlformats.org/officeDocument/2006/relationships/hyperlink" Target="https://www.wolftheiss.com/insights/wolf-theiss-advises-guala-closures-s-p-a-on-the-acquisition-of-austrian-packaging-company-kunststoffwerk-kremsmunster-gmbh/" TargetMode="External"/><Relationship Id="rId96" Type="http://schemas.openxmlformats.org/officeDocument/2006/relationships/hyperlink" Target="https://www.ambujagroup.com/" TargetMode="External"/><Relationship Id="rId97" Type="http://schemas.openxmlformats.org/officeDocument/2006/relationships/hyperlink" Target="https://www.ambujagroup.com/starch-derivatives" TargetMode="External"/><Relationship Id="rId98" Type="http://schemas.openxmlformats.org/officeDocument/2006/relationships/hyperlink" Target="https://www.ambujagroup.com/dextrose-anhydrous-powder" TargetMode="External"/><Relationship Id="rId99" Type="http://schemas.openxmlformats.org/officeDocument/2006/relationships/hyperlink" Target="https://www.ambujagroup.com/dextrose-monohydrate-powder" TargetMode="External"/><Relationship Id="rId100" Type="http://schemas.openxmlformats.org/officeDocument/2006/relationships/hyperlink" Target="https://www.wrightresearch.in/stocks/stock/GAEL/" TargetMode="External"/><Relationship Id="rId101" Type="http://schemas.openxmlformats.org/officeDocument/2006/relationships/hyperlink" Target="https://www.ambujagroup.com/" TargetMode="External"/><Relationship Id="rId102" Type="http://schemas.openxmlformats.org/officeDocument/2006/relationships/hyperlink" Target="https://nsearchives.nseindia.com/corporate/GAEL_26032025100331_Commercial_Production_1200TPD_Maize.pdf" TargetMode="External"/><Relationship Id="rId103" Type="http://schemas.openxmlformats.org/officeDocument/2006/relationships/hyperlink" Target="https://www.careratings.com/upload/CompanyFiles/PR/202512121257_Gujarat_Ambuja_Exports_Limited.pdf" TargetMode="External"/><Relationship Id="rId104" Type="http://schemas.openxmlformats.org/officeDocument/2006/relationships/hyperlink" Target="https://www.indiainfoline.com/company/gulshan-polyols-ltd/summary" TargetMode="External"/><Relationship Id="rId105" Type="http://schemas.openxmlformats.org/officeDocument/2006/relationships/hyperlink" Target="https://www.gurufocus.com/stock/BOM:532457/transcripts/8616616" TargetMode="External"/><Relationship Id="rId106" Type="http://schemas.openxmlformats.org/officeDocument/2006/relationships/hyperlink" Target="https://www.plindia.com/stocks/gulshan-polyols-ltd/" TargetMode="External"/><Relationship Id="rId107" Type="http://schemas.openxmlformats.org/officeDocument/2006/relationships/hyperlink" Target="https://www.globallinker.com/products/trusted-pet-preform-manufacturers-in-odisha-harsh-impex-best-price-8457231" TargetMode="External"/><Relationship Id="rId108" Type="http://schemas.openxmlformats.org/officeDocument/2006/relationships/hyperlink" Target="https://www.globallinker.com/seller/harsh-impex" TargetMode="External"/><Relationship Id="rId109" Type="http://schemas.openxmlformats.org/officeDocument/2006/relationships/hyperlink" Target="https://yourstory.com/companies/harsh-impex" TargetMode="External"/><Relationship Id="rId110" Type="http://schemas.openxmlformats.org/officeDocument/2006/relationships/hyperlink" Target="https://www.hawkinsinc.com/groups/pharmaceutical/dextrose/" TargetMode="External"/><Relationship Id="rId111" Type="http://schemas.openxmlformats.org/officeDocument/2006/relationships/hyperlink" Target="https://news.ventureintelligence.com/ma/manjushree-technopack-to-acquire-caps-maker-hitesh-plastics" TargetMode="External"/><Relationship Id="rId112" Type="http://schemas.openxmlformats.org/officeDocument/2006/relationships/hyperlink" Target="https://www.printweek.in/News/manjushree-technopack-backed-by-advent-to-acquire-hitesh-plastics-56469" TargetMode="External"/><Relationship Id="rId113" Type="http://schemas.openxmlformats.org/officeDocument/2006/relationships/hyperlink" Target="https://www.petnology.com/online/news-detail/manjushree-technopack-acquires-hitesh-plastics" TargetMode="External"/><Relationship Id="rId114" Type="http://schemas.openxmlformats.org/officeDocument/2006/relationships/hyperlink" Target="https://www.printweek.in/news/manjushree-technopack-backed-by-advent-to-acquire-hitesh-plastics-56469" TargetMode="External"/><Relationship Id="rId115" Type="http://schemas.openxmlformats.org/officeDocument/2006/relationships/hyperlink" Target="https://www.petnology.com/online/news-detail/manjushree-technopack-acquires-hitesh-plastics" TargetMode="External"/><Relationship Id="rId116" Type="http://schemas.openxmlformats.org/officeDocument/2006/relationships/hyperlink" Target="https://petpla.net/2022/08/08/manjushree-technopack-acquires-hitesh-plastics/" TargetMode="External"/><Relationship Id="rId117" Type="http://schemas.openxmlformats.org/officeDocument/2006/relationships/hyperlink" Target="https://packagingsouthasia.com/type-of-article/manjushree-technopack-plant/" TargetMode="External"/><Relationship Id="rId118" Type="http://schemas.openxmlformats.org/officeDocument/2006/relationships/hyperlink" Target="https://www.huhtamaki.com/en/flexible-packaging/about-us/india/" TargetMode="External"/><Relationship Id="rId119" Type="http://schemas.openxmlformats.org/officeDocument/2006/relationships/hyperlink" Target="https://www.plastemart.com/news-plastics-information/huhtamaki-india-limited-a-leading-flexible-packaging-converter-for-fmcg-and-food-brands/75108" TargetMode="External"/><Relationship Id="rId120" Type="http://schemas.openxmlformats.org/officeDocument/2006/relationships/hyperlink" Target="https://en.wikipedia.org/wiki/Huhtamaki_PPL" TargetMode="External"/><Relationship Id="rId121" Type="http://schemas.openxmlformats.org/officeDocument/2006/relationships/hyperlink" Target="https://dfd.dr.morningstar.com.au/investments/security/NSE/HUHTAMAKI" TargetMode="External"/><Relationship Id="rId122" Type="http://schemas.openxmlformats.org/officeDocument/2006/relationships/hyperlink" Target="https://production.huhtamaki.com/en-in/flexible-packaging" TargetMode="External"/><Relationship Id="rId123" Type="http://schemas.openxmlformats.org/officeDocument/2006/relationships/hyperlink" Target="https://pharmaoffer.com/api-excipient-supplier/glucose-anhydrous" TargetMode="External"/><Relationship Id="rId124" Type="http://schemas.openxmlformats.org/officeDocument/2006/relationships/hyperlink" Target="https://ingredion.com/content/dam/ingredion/technical-documents/na/CERELOSE%20Anhydrous%20Dextrose%20024010%20Technical%20Specification.pdf" TargetMode="External"/><Relationship Id="rId125" Type="http://schemas.openxmlformats.org/officeDocument/2006/relationships/hyperlink" Target="https://pharmacompass.com/us-drug-master-files-dmfs/anhydrous-dextrose" TargetMode="External"/><Relationship Id="rId126" Type="http://schemas.openxmlformats.org/officeDocument/2006/relationships/hyperlink" Target="https://pharmaoffer.com/api-excipient-supplier/company/ingredion" TargetMode="External"/><Relationship Id="rId127" Type="http://schemas.openxmlformats.org/officeDocument/2006/relationships/hyperlink" Target="https://packagingsouthasia.com/zarchive/petainer-innopac-packagings-plant-at-bhiwandi/" TargetMode="External"/><Relationship Id="rId128" Type="http://schemas.openxmlformats.org/officeDocument/2006/relationships/hyperlink" Target="https://www.indoramaventures.com/en/worldwide/2001/ivl-dhunseri-petrochem-industries-private-limited" TargetMode="External"/><Relationship Id="rId129" Type="http://schemas.openxmlformats.org/officeDocument/2006/relationships/hyperlink" Target="https://www.textileworld.com/textile-world/fiber-world/2016/02/indorama-ventures-and-dhunseri-form-joint-venture-in-india/" TargetMode="External"/><Relationship Id="rId130" Type="http://schemas.openxmlformats.org/officeDocument/2006/relationships/hyperlink" Target="https://chemengonline.com/indorama-to-form-pet-manufacturing-joint-venture-in-india" TargetMode="External"/><Relationship Id="rId131" Type="http://schemas.openxmlformats.org/officeDocument/2006/relationships/hyperlink" Target="https://www.jaysomnathstarch.in/dextrose-anhydrous-powder.htm" TargetMode="External"/><Relationship Id="rId132" Type="http://schemas.openxmlformats.org/officeDocument/2006/relationships/hyperlink" Target="https://www.jaysomnathstarch.in/dextrose-monohydrate-powder.htm" TargetMode="External"/><Relationship Id="rId133" Type="http://schemas.openxmlformats.org/officeDocument/2006/relationships/hyperlink" Target="https://piceapp.com/gst-number-search/jay-somnath-starch-product-24aasfj8076f1zx/" TargetMode="External"/><Relationship Id="rId134" Type="http://schemas.openxmlformats.org/officeDocument/2006/relationships/hyperlink" Target="https://www.crisil.com/mnt/winshare/Ratings/RatingList/RatingDocs/JindalPolyFilmsLimited_August%2014_%202026_RR_401765.html" TargetMode="External"/><Relationship Id="rId135" Type="http://schemas.openxmlformats.org/officeDocument/2006/relationships/hyperlink" Target="https://www.crisil.com/mnt/winshare/Ratings/RatingList/RatingDocs/JindalPolyFilmsLimited_May%2018_%202026_RR_395327.html" TargetMode="External"/><Relationship Id="rId136" Type="http://schemas.openxmlformats.org/officeDocument/2006/relationships/hyperlink" Target="https://www.wolftheiss.com/insights/wolf-theiss-advises-guala-closures-s-p-a-on-the-acquisition-of-austrian-packaging-company-kunststoffwerk-kremsmunster-gmbh/" TargetMode="External"/><Relationship Id="rId137" Type="http://schemas.openxmlformats.org/officeDocument/2006/relationships/hyperlink" Target="https://www.ilgiornaleditalia.it/news/mondo-imprese/739210/guala-closures-acquisisce-kwk-leader-del-settore-del-packaging-farmaceutico-con-ricavi-di-18-milioni-di-euro-in-12-mesi.html" TargetMode="External"/><Relationship Id="rId138" Type="http://schemas.openxmlformats.org/officeDocument/2006/relationships/hyperlink" Target="https://plasticker.de/Plastics_News_47298_Guala_Closures_Packaging_Specialist_Acquires_KWK_Kunststoffwerk_Kremsmnster__Entry_into_the_Pharmaceutical_Closure_Market" TargetMode="External"/><Relationship Id="rId139" Type="http://schemas.openxmlformats.org/officeDocument/2006/relationships/hyperlink" Target="https://www.kwk.at/" TargetMode="External"/><Relationship Id="rId140" Type="http://schemas.openxmlformats.org/officeDocument/2006/relationships/hyperlink" Target="https://www.laballey.com/products/dextrose-monohydrate-fcc-grade-powder" TargetMode="External"/><Relationship Id="rId141" Type="http://schemas.openxmlformats.org/officeDocument/2006/relationships/hyperlink" Target="https://media.laballey.com/docbuilder/dextrose-monohydrate-fcc-grade-powder-country-of-origin-document-652e9c01db492.pdf" TargetMode="External"/><Relationship Id="rId142" Type="http://schemas.openxmlformats.org/officeDocument/2006/relationships/hyperlink" Target="https://manjushreeindia.com/wp-content/uploads/2024/10/Caps-Closures.pdf" TargetMode="External"/><Relationship Id="rId143" Type="http://schemas.openxmlformats.org/officeDocument/2006/relationships/hyperlink" Target="https://www.manjushreeindia.com/wp-content/uploads/2024/03/Manjushree-Corporate-Presentation.pdf" TargetMode="External"/><Relationship Id="rId144" Type="http://schemas.openxmlformats.org/officeDocument/2006/relationships/hyperlink" Target="https://news.ventureintelligence.com/ma/manjushree-technopack-to-acquire-caps-maker-hitesh-plastics" TargetMode="External"/><Relationship Id="rId145" Type="http://schemas.openxmlformats.org/officeDocument/2006/relationships/hyperlink" Target="https://petpla.net/2022/08/08/manjushree-technopack-acquires-hitesh-plastics/" TargetMode="External"/><Relationship Id="rId146" Type="http://schemas.openxmlformats.org/officeDocument/2006/relationships/hyperlink" Target="https://manjushreeindia.com/wp-content/uploads/2024/10/Preforms.pdf" TargetMode="External"/><Relationship Id="rId147" Type="http://schemas.openxmlformats.org/officeDocument/2006/relationships/hyperlink" Target="https://www.manjushreeindia.com/wp-content/uploads/2023/07/MTL-Corporate-Presentation.pdf" TargetMode="External"/><Relationship Id="rId148" Type="http://schemas.openxmlformats.org/officeDocument/2006/relationships/hyperlink" Target="https://www.printweek.in/news/india-packaging-leader-manjushree-technopack-acquires-delhi-varahi-22700" TargetMode="External"/><Relationship Id="rId149" Type="http://schemas.openxmlformats.org/officeDocument/2006/relationships/hyperlink" Target="https://petpla.net/?p=3756" TargetMode="External"/><Relationship Id="rId150" Type="http://schemas.openxmlformats.org/officeDocument/2006/relationships/hyperlink" Target="https://packagingsouthasia.com/packaging-production/manjushree-technopack-commissions-new-plant-at-silvassa/" TargetMode="External"/><Relationship Id="rId151" Type="http://schemas.openxmlformats.org/officeDocument/2006/relationships/hyperlink" Target="https://www.indiamart.com/manjushree-technopack-ltd/aboutus.html" TargetMode="External"/><Relationship Id="rId152" Type="http://schemas.openxmlformats.org/officeDocument/2006/relationships/hyperlink" Target="https://altiusinvestech.com/blog/advent-internationals-3x-bagger-a-strategic-exit-from-manjushree-in-5-years/" TargetMode="External"/><Relationship Id="rId153" Type="http://schemas.openxmlformats.org/officeDocument/2006/relationships/hyperlink" Target="https://en.wikipedia.org/wiki/Manjushree_Technopack" TargetMode="External"/><Relationship Id="rId154" Type="http://schemas.openxmlformats.org/officeDocument/2006/relationships/hyperlink" Target="https://www.indiamart.com/manjushree-techno-pack-limited/profile.html" TargetMode="External"/><Relationship Id="rId155" Type="http://schemas.openxmlformats.org/officeDocument/2006/relationships/hyperlink" Target="https://www.indiamart.com/manjushree-technopark-limited/" TargetMode="External"/><Relationship Id="rId156" Type="http://schemas.openxmlformats.org/officeDocument/2006/relationships/hyperlink" Target="https://www.tradeindia.com/Seller-2683598-MANJUSHREE-TECHNOPACK-LTD-/" TargetMode="External"/><Relationship Id="rId157" Type="http://schemas.openxmlformats.org/officeDocument/2006/relationships/hyperlink" Target="https://www.tradeindia.com/products/pet-bisleri-bottles-6089274.html" TargetMode="External"/><Relationship Id="rId158" Type="http://schemas.openxmlformats.org/officeDocument/2006/relationships/hyperlink" Target="https://mysuruinfrahub.com/manjushree-technopack-limited-to-setup-a-plastic-packaging-plant-at-chamarajanagar/" TargetMode="External"/><Relationship Id="rId159" Type="http://schemas.openxmlformats.org/officeDocument/2006/relationships/hyperlink" Target="https://www.indiainfoline.com/company/alternicq-ltd/summary" TargetMode="External"/><Relationship Id="rId160" Type="http://schemas.openxmlformats.org/officeDocument/2006/relationships/hyperlink" Target="https://www.manjushreeindia.com/wp-content/uploads/2024/03/Manjushree-Corporate-Presentation.pdf" TargetMode="External"/><Relationship Id="rId161" Type="http://schemas.openxmlformats.org/officeDocument/2006/relationships/hyperlink" Target="https://www.adventinternational.com/ideas/the-endless-life-cycle-of-plastic-manjushree-technopack/" TargetMode="External"/><Relationship Id="rId162" Type="http://schemas.openxmlformats.org/officeDocument/2006/relationships/hyperlink" Target="https://sbnri.com/p/pre-ipo/Manjushree-Technopack-Ltd.-jxbE69gV" TargetMode="External"/><Relationship Id="rId163" Type="http://schemas.openxmlformats.org/officeDocument/2006/relationships/hyperlink" Target="https://m.indiamart.com/mark-pack/pet-bottles.html" TargetMode="External"/><Relationship Id="rId164" Type="http://schemas.openxmlformats.org/officeDocument/2006/relationships/hyperlink" Target="https://m.indiamart.com/markpack/pet-plastic-bottles.html" TargetMode="External"/><Relationship Id="rId165" Type="http://schemas.openxmlformats.org/officeDocument/2006/relationships/hyperlink" Target="https://m.indiamart.com/markpack/pet-jars.html" TargetMode="External"/><Relationship Id="rId166" Type="http://schemas.openxmlformats.org/officeDocument/2006/relationships/hyperlink" Target="https://m.indiamart.com/mark-pack/plastic-bottle.html" TargetMode="External"/><Relationship Id="rId167" Type="http://schemas.openxmlformats.org/officeDocument/2006/relationships/hyperlink" Target="https://m.indiamart.com/markpack" TargetMode="External"/><Relationship Id="rId168" Type="http://schemas.openxmlformats.org/officeDocument/2006/relationships/hyperlink" Target="https://www.indianyellowpages.com/vapi/megapet-containers-pvt-ltd-9175302" TargetMode="External"/><Relationship Id="rId169" Type="http://schemas.openxmlformats.org/officeDocument/2006/relationships/hyperlink" Target="https://www.monarchchemicals.co.uk/Chemicals/A-to-Z/665-/Dextrose-Monohydrate" TargetMode="External"/><Relationship Id="rId170" Type="http://schemas.openxmlformats.org/officeDocument/2006/relationships/hyperlink" Target="https://iamrenew.com/green-energy/nafed-nccf-can-sell-maize-to-ethanol-makers-at-base-rate/amp" TargetMode="External"/><Relationship Id="rId171" Type="http://schemas.openxmlformats.org/officeDocument/2006/relationships/hyperlink" Target="https://advancedbiofuelsusa.info/govt-to-buy-maize-at-msp-raise-output-to-meet-biofuel-needs" TargetMode="External"/><Relationship Id="rId172" Type="http://schemas.openxmlformats.org/officeDocument/2006/relationships/hyperlink" Target="https://www.qcintel.com/biofuels/article/indian-goverment-issues-sop-for-corn-procurement-for-ethanol-output-21584.html" TargetMode="External"/><Relationship Id="rId173" Type="http://schemas.openxmlformats.org/officeDocument/2006/relationships/hyperlink" Target="https://cropgpt.ai/nafed-agrees-to-procure-1-lakh-tonnes-of-maize-from-telangana-sets-up-procurement-centres-and-assures-minimum-support-price-for-farmers" TargetMode="External"/><Relationship Id="rId174" Type="http://schemas.openxmlformats.org/officeDocument/2006/relationships/hyperlink" Target="https://www.indiancooperative.com/co-op-news-snippets/price-fall-triggers-msp-push-by-nafed-nccf/" TargetMode="External"/><Relationship Id="rId175" Type="http://schemas.openxmlformats.org/officeDocument/2006/relationships/hyperlink" Target="https://iamrenew.com/green-energy/nafed-nccf-can-sell-maize-to-ethanol-makers-at-base-rate/amp" TargetMode="External"/><Relationship Id="rId176" Type="http://schemas.openxmlformats.org/officeDocument/2006/relationships/hyperlink" Target="https://krishijagran.com/news/maize-to-be-procured-by-govt-at-msp-increased-production-targeted-to-meet-biofuel-requirements/?amp=1" TargetMode="External"/><Relationship Id="rId177" Type="http://schemas.openxmlformats.org/officeDocument/2006/relationships/hyperlink" Target="https://www.indiancooperative.com/co-op-news-snippets/price-fall-triggers-msp-push-by-nafed-nccf/" TargetMode="External"/><Relationship Id="rId178" Type="http://schemas.openxmlformats.org/officeDocument/2006/relationships/hyperlink" Target="https://www.angelone.in/news/economy/centre-extends-maize-msp-procurement-deadline-for-kharif-2025-26-till-april-30" TargetMode="External"/><Relationship Id="rId179" Type="http://schemas.openxmlformats.org/officeDocument/2006/relationships/hyperlink" Target="https://m.indiamart.com/nishantmouldings" TargetMode="External"/><Relationship Id="rId180" Type="http://schemas.openxmlformats.org/officeDocument/2006/relationships/hyperlink" Target="https://www.exporthub.com/nishant-mouldings/" TargetMode="External"/><Relationship Id="rId181" Type="http://schemas.openxmlformats.org/officeDocument/2006/relationships/hyperlink" Target="https://www.dial4trade.com/nishant-moulding/pet-preforms-pdid-6788384.htm" TargetMode="External"/><Relationship Id="rId182" Type="http://schemas.openxmlformats.org/officeDocument/2006/relationships/hyperlink" Target="https://www.nordmann.global/en/products/dextrose" TargetMode="External"/><Relationship Id="rId183" Type="http://schemas.openxmlformats.org/officeDocument/2006/relationships/hyperlink" Target="https://www.pharmaceutical-technology.com/contractors/packaging/origin/pressreleases/pressorigin-pharma-packaging-child-safety" TargetMode="External"/><Relationship Id="rId184" Type="http://schemas.openxmlformats.org/officeDocument/2006/relationships/hyperlink" Target="https://pharmaceutical-technology.com/contractors/cleanroom/origin/pressreleases/child-resistant-packaging" TargetMode="External"/><Relationship Id="rId185" Type="http://schemas.openxmlformats.org/officeDocument/2006/relationships/hyperlink" Target="https://www.pharmaceutical-technology.com/contractors/packaging/origin/" TargetMode="External"/><Relationship Id="rId186" Type="http://schemas.openxmlformats.org/officeDocument/2006/relationships/hyperlink" Target="https://parleagro.com/preforms" TargetMode="External"/><Relationship Id="rId187" Type="http://schemas.openxmlformats.org/officeDocument/2006/relationships/hyperlink" Target="https://pciplindia.com/product-detail/dextrose-monohydrate" TargetMode="External"/><Relationship Id="rId188" Type="http://schemas.openxmlformats.org/officeDocument/2006/relationships/hyperlink" Target="https://packagingsouthasia.com/packaging-production/pet-pioneer-pearl/" TargetMode="External"/><Relationship Id="rId189" Type="http://schemas.openxmlformats.org/officeDocument/2006/relationships/hyperlink" Target="https://www.roic.ai/quote/PEARLPOLY.BO" TargetMode="External"/><Relationship Id="rId190" Type="http://schemas.openxmlformats.org/officeDocument/2006/relationships/hyperlink" Target="https://www.screener.in/company/PEARLPOLY" TargetMode="External"/><Relationship Id="rId191" Type="http://schemas.openxmlformats.org/officeDocument/2006/relationships/hyperlink" Target="https://kotaksecurities.com/stocks/bse-pearl-polymers-ltd" TargetMode="External"/><Relationship Id="rId192" Type="http://schemas.openxmlformats.org/officeDocument/2006/relationships/hyperlink" Target="https://www.tickertape.in/stocks/pearl-polymers-PRLP" TargetMode="External"/><Relationship Id="rId193" Type="http://schemas.openxmlformats.org/officeDocument/2006/relationships/hyperlink" Target="https://www.petainer.com/pet-plastic-preforms/bottle-preform-28mm-pco" TargetMode="External"/><Relationship Id="rId194" Type="http://schemas.openxmlformats.org/officeDocument/2006/relationships/hyperlink" Target="https://www.angelone.in/news/stocks-share-market/polyplex-corporation-expands-its-horizons-with-new-bopet-film-plant-in-india" TargetMode="External"/><Relationship Id="rId195" Type="http://schemas.openxmlformats.org/officeDocument/2006/relationships/hyperlink" Target="https://filingreader.com/news-wire/mumbai/2025-09-15/polyplex-highlights-global-expansion-sustainable-growth-strategy" TargetMode="External"/><Relationship Id="rId196" Type="http://schemas.openxmlformats.org/officeDocument/2006/relationships/hyperlink" Target="https://www.screener.in/company/524051" TargetMode="External"/><Relationship Id="rId197" Type="http://schemas.openxmlformats.org/officeDocument/2006/relationships/hyperlink" Target="https://www.dial4trade.com/pondicherry-polymers/pet-performs-pdid-1228244.htm" TargetMode="External"/><Relationship Id="rId198" Type="http://schemas.openxmlformats.org/officeDocument/2006/relationships/hyperlink" Target="https://www.pranavplasticsindia.com/pharma-pet-bottles.html" TargetMode="External"/><Relationship Id="rId199" Type="http://schemas.openxmlformats.org/officeDocument/2006/relationships/hyperlink" Target="https://en.indotrading.com/escochemicalsmitrautama/dextrose-monohydrate-ex-p470664.aspx" TargetMode="External"/><Relationship Id="rId200" Type="http://schemas.openxmlformats.org/officeDocument/2006/relationships/hyperlink" Target="https://www.quadragroup.store/products/meritose-200-pharma-p15325" TargetMode="External"/><Relationship Id="rId201" Type="http://schemas.openxmlformats.org/officeDocument/2006/relationships/hyperlink" Target="https://pharmasource.global/directory/radcom-packaging-pvt-ltd/" TargetMode="External"/><Relationship Id="rId202" Type="http://schemas.openxmlformats.org/officeDocument/2006/relationships/hyperlink" Target="https://www.cphi-online.com/company/radcom-packaging-pvt-ltd/" TargetMode="External"/><Relationship Id="rId203" Type="http://schemas.openxmlformats.org/officeDocument/2006/relationships/hyperlink" Target="https://m.indiamart.com/radcompackaging/hdpe-pet-containers-4-nutraceuticals-supplements.html" TargetMode="External"/><Relationship Id="rId204" Type="http://schemas.openxmlformats.org/officeDocument/2006/relationships/hyperlink" Target="https://m.indiamart.com/radcompackaging/pet-cream-jars-and-pp-cream-jars.html" TargetMode="External"/><Relationship Id="rId205" Type="http://schemas.openxmlformats.org/officeDocument/2006/relationships/hyperlink" Target="https://www.pharmaceutical-tech.com/products/raja-tradelinks-pvt-ltd-rtl/aluminium-ropp-caps" TargetMode="External"/><Relationship Id="rId206" Type="http://schemas.openxmlformats.org/officeDocument/2006/relationships/hyperlink" Target="https://www.ramshreechemicals.in/dextrose-monohydrate-3400354.html" TargetMode="External"/><Relationship Id="rId207" Type="http://schemas.openxmlformats.org/officeDocument/2006/relationships/hyperlink" Target="https://regaalresources.com/" TargetMode="External"/><Relationship Id="rId208" Type="http://schemas.openxmlformats.org/officeDocument/2006/relationships/hyperlink" Target="https://agrospectrumindia.com/news/5/34078/regaal-resources-doubles-capacity-to-1650-tpd-commissions-new-lg-and-mpd-facility-in-bihar-with-rs-389-cr-investment.html" TargetMode="External"/><Relationship Id="rId209" Type="http://schemas.openxmlformats.org/officeDocument/2006/relationships/hyperlink" Target="https://tradebrains.in/regaal-resources-doubles-crushing-capacity-to-1650-tpd-full-year-revenue-touches-1134-crore/" TargetMode="External"/><Relationship Id="rId210" Type="http://schemas.openxmlformats.org/officeDocument/2006/relationships/hyperlink" Target="https://www.outlookbusiness.com/news/regaal-resources-doubles-maize-processing-capacity-with-389-cr-expansion-at-kishanganj-bihar" TargetMode="External"/><Relationship Id="rId211" Type="http://schemas.openxmlformats.org/officeDocument/2006/relationships/hyperlink" Target="https://www.samco.in/ipo/regaal-resources-ipo" TargetMode="External"/><Relationship Id="rId212" Type="http://schemas.openxmlformats.org/officeDocument/2006/relationships/hyperlink" Target="https://x.com/LnprCapital/status/1957687364702335124?lang=en" TargetMode="External"/><Relationship Id="rId213" Type="http://schemas.openxmlformats.org/officeDocument/2006/relationships/hyperlink" Target="https://www.businessupturn.com/business/corporates/regaal-resources-doubles-maize-processing-capacity-to-1650-tpd-in-kishanganj" TargetMode="External"/><Relationship Id="rId214" Type="http://schemas.openxmlformats.org/officeDocument/2006/relationships/hyperlink" Target="https://www.tipranks.com/news/company-announcements/regaal-resources-doubles-maize-capacity-becomes-eastern-indias-largest-specialty-producer" TargetMode="External"/><Relationship Id="rId215" Type="http://schemas.openxmlformats.org/officeDocument/2006/relationships/hyperlink" Target="https://chemindigest.com/regaal-resources-commissions-lg-and-mpd-facility-in-bihar/" TargetMode="External"/><Relationship Id="rId216" Type="http://schemas.openxmlformats.org/officeDocument/2006/relationships/hyperlink" Target="https://www.outlookbusiness.com/news/regaal-resources-doubles-maize-processing-capacity-with-389-cr-expansion-at-kishanganj-bihar" TargetMode="External"/><Relationship Id="rId217" Type="http://schemas.openxmlformats.org/officeDocument/2006/relationships/hyperlink" Target="https://www.businesstoday.in/amp/markets/ipo-corner/story/regaal-resources-ipo-opens-today-check-reviews-ratings-latest-gmp-more-488973-2025-08-12" TargetMode="External"/><Relationship Id="rId218" Type="http://schemas.openxmlformats.org/officeDocument/2006/relationships/hyperlink" Target="https://rilstaticasset.akamaized.net/sites/default/files/2022-12/py_rpt_g5801_spec.pdf" TargetMode="External"/><Relationship Id="rId219" Type="http://schemas.openxmlformats.org/officeDocument/2006/relationships/hyperlink" Target="https://plastics.ulprospector.com/plastics/en/generics/37/materials/4048" TargetMode="External"/><Relationship Id="rId220" Type="http://schemas.openxmlformats.org/officeDocument/2006/relationships/hyperlink" Target="https://www.specialchem.com/plastics/supplier/reliance-industries/relpet" TargetMode="External"/><Relationship Id="rId221" Type="http://schemas.openxmlformats.org/officeDocument/2006/relationships/hyperlink" Target="https://Knowde.com/stores/reliance-industries-ltd/products/relpet-g5801" TargetMode="External"/><Relationship Id="rId222" Type="http://schemas.openxmlformats.org/officeDocument/2006/relationships/hyperlink" Target="https://www.indianchemicalnews.com/petro-chemical/lite/reliance-to-double-its-pet-recycling-capacity-to-5-bn-bottles-9971" TargetMode="External"/><Relationship Id="rId223" Type="http://schemas.openxmlformats.org/officeDocument/2006/relationships/hyperlink" Target="https://petpla.net/2023/02/01/pet-raw-material-and-recyclate-from-india/" TargetMode="External"/><Relationship Id="rId224" Type="http://schemas.openxmlformats.org/officeDocument/2006/relationships/hyperlink" Target="https://riddhisiddhi.co.in/pdf/other-events-and-disclosure/press-release-19-01-2026.pdf" TargetMode="External"/><Relationship Id="rId225" Type="http://schemas.openxmlformats.org/officeDocument/2006/relationships/hyperlink" Target="https://www.world-grain.com/articles/22710-rsgbl-acquires-cargill-corn-mill-in-india" TargetMode="External"/><Relationship Id="rId226" Type="http://schemas.openxmlformats.org/officeDocument/2006/relationships/hyperlink" Target="https://insights.munich-startup.de/news/feed/riddhi-siddhi-gluco-biols-acquires-cargill-s-300-000-mt-corn-milling-facility-in-karnataka" TargetMode="External"/><Relationship Id="rId227" Type="http://schemas.openxmlformats.org/officeDocument/2006/relationships/hyperlink" Target="https://themachinemaker.com/news/rsgbl-completes-acquisition-of-corn-wet-milling-facility-from-cargill-in-karnataka/" TargetMode="External"/><Relationship Id="rId228" Type="http://schemas.openxmlformats.org/officeDocument/2006/relationships/hyperlink" Target="https://www.roquette.com/health-pharma/injectable-dialysis-specialty-apis/lycadex-pf-dextrose-monohydrate" TargetMode="External"/><Relationship Id="rId229" Type="http://schemas.openxmlformats.org/officeDocument/2006/relationships/hyperlink" Target="https://www.roquette.com/pharma-and-nutraceuticals-pyrogen-free-dextrose-monohydrate" TargetMode="External"/><Relationship Id="rId230" Type="http://schemas.openxmlformats.org/officeDocument/2006/relationships/hyperlink" Target="https://fr.roquette.com/-/media/roquette-sharepoint-libraries/marcomonline---pharma/roquette-pharma-injectable-dialysis-specialty-api-brochure.pdf" TargetMode="External"/><Relationship Id="rId231" Type="http://schemas.openxmlformats.org/officeDocument/2006/relationships/hyperlink" Target="https://manufacturingchemist.com/roquette-completes-injectable-carbohydrate-plant-at-lestrem-63951" TargetMode="External"/><Relationship Id="rId232" Type="http://schemas.openxmlformats.org/officeDocument/2006/relationships/hyperlink" Target="https://pharmacompass.com/us-drug-master-files-dmfs/anhydrous-dextrose" TargetMode="External"/><Relationship Id="rId233" Type="http://schemas.openxmlformats.org/officeDocument/2006/relationships/hyperlink" Target="https://www.roquette.com/pharma-lycadex-pf-dextrose-monohydrate-pyrogen-free" TargetMode="External"/><Relationship Id="rId234" Type="http://schemas.openxmlformats.org/officeDocument/2006/relationships/hyperlink" Target="https://www.roquette.com/health-pharma/biologics-product-finder/lycadex-biopharma-dextrose-monohydrate-low-endotoxin" TargetMode="External"/><Relationship Id="rId235" Type="http://schemas.openxmlformats.org/officeDocument/2006/relationships/hyperlink" Target="https://www.roquette.com/health-pharma/pharmaceutical-product-catalog/glucidex-21-dehydrated-glucose-syrup-india" TargetMode="External"/><Relationship Id="rId236" Type="http://schemas.openxmlformats.org/officeDocument/2006/relationships/hyperlink" Target="https://www.roquette.com/press-releases/product-capabilities-viramgam-india" TargetMode="External"/><Relationship Id="rId237" Type="http://schemas.openxmlformats.org/officeDocument/2006/relationships/hyperlink" Target="https://www.roquette.com/press-releases/roquette-celebrates-10-years-operation-pantnagar" TargetMode="External"/><Relationship Id="rId238" Type="http://schemas.openxmlformats.org/officeDocument/2006/relationships/hyperlink" Target="https://www.indianchemicalnews.com/general/lite/roquette-inaugurates-spray-tower-at-pantnagar-site-in-india-11507" TargetMode="External"/><Relationship Id="rId239" Type="http://schemas.openxmlformats.org/officeDocument/2006/relationships/hyperlink" Target="https://www.potatopro.com/node/8764" TargetMode="External"/><Relationship Id="rId240" Type="http://schemas.openxmlformats.org/officeDocument/2006/relationships/hyperlink" Target="https://www.riddhisiddhi.co.in/about.html" TargetMode="External"/><Relationship Id="rId241" Type="http://schemas.openxmlformats.org/officeDocument/2006/relationships/hyperlink" Target="https://www.roquette.com/press-releases/product-capabilities-viramgam-india" TargetMode="External"/><Relationship Id="rId242" Type="http://schemas.openxmlformats.org/officeDocument/2006/relationships/hyperlink" Target="https://www.roquette.com/media-center/press-center/2019-08-28-roquette-india-viramgam-s-unit-inauguration" TargetMode="External"/><Relationship Id="rId243" Type="http://schemas.openxmlformats.org/officeDocument/2006/relationships/hyperlink" Target="https://www.foodnavigator.com/Article/2012/06/01/Roquette-Indian-starch-JV-to-drive-market-traction" TargetMode="External"/><Relationship Id="rId244" Type="http://schemas.openxmlformats.org/officeDocument/2006/relationships/hyperlink" Target="https://circulareconomy.europa.eu/platform/en/good-practices/rpet-inwaste-sro-enabling-pet-bottle-bottle-recycling" TargetMode="External"/><Relationship Id="rId245" Type="http://schemas.openxmlformats.org/officeDocument/2006/relationships/hyperlink" Target="https://www.maizeproducts.com/industry-solutions/dextrose-monohydrate/" TargetMode="External"/><Relationship Id="rId246" Type="http://schemas.openxmlformats.org/officeDocument/2006/relationships/hyperlink" Target="https://exhibitors.figlobal.com/net/company/26/90/94/result269094-565.html" TargetMode="External"/><Relationship Id="rId247" Type="http://schemas.openxmlformats.org/officeDocument/2006/relationships/hyperlink" Target="https://upstox.com/stocks/sayaji-industries-limited/INE327G01032" TargetMode="External"/><Relationship Id="rId248" Type="http://schemas.openxmlformats.org/officeDocument/2006/relationships/hyperlink" Target="https://www.careratings.com/upload/CompanyFiles/PR/Sayaji%20Industries%20Limited-03-11-2019.pdf" TargetMode="External"/><Relationship Id="rId249" Type="http://schemas.openxmlformats.org/officeDocument/2006/relationships/hyperlink" Target="https://www.kotaksecurities.com/stocks/bse-sayaji-industries-ltd" TargetMode="External"/><Relationship Id="rId250" Type="http://schemas.openxmlformats.org/officeDocument/2006/relationships/hyperlink" Target="https://exhibitors.figlobal.com/net/company/26/90/94/result269094-565.html" TargetMode="External"/><Relationship Id="rId251" Type="http://schemas.openxmlformats.org/officeDocument/2006/relationships/hyperlink" Target="https://pharmacompass.com/us-drug-master-files-dmfs/anhydrous-dextrose" TargetMode="External"/><Relationship Id="rId252" Type="http://schemas.openxmlformats.org/officeDocument/2006/relationships/hyperlink" Target="https://www.pharmacompass.com/dmf-37618" TargetMode="External"/><Relationship Id="rId253" Type="http://schemas.openxmlformats.org/officeDocument/2006/relationships/hyperlink" Target="https://www.pharmacompass.com/dmf-35737" TargetMode="External"/><Relationship Id="rId254" Type="http://schemas.openxmlformats.org/officeDocument/2006/relationships/hyperlink" Target="https://b2usa.com/hotsite/shanghaiunitebiz/dextrose-monohydrate-food-grade-high-qua" TargetMode="External"/><Relationship Id="rId255" Type="http://schemas.openxmlformats.org/officeDocument/2006/relationships/hyperlink" Target="https://www.shethpet.in/pharma-pet-bottle.html" TargetMode="External"/><Relationship Id="rId256" Type="http://schemas.openxmlformats.org/officeDocument/2006/relationships/hyperlink" Target="https://th.globallinker.com/network/rubber-plastics-polymers/sme/sheth-pet-polymers-private-limited-241415" TargetMode="External"/><Relationship Id="rId257" Type="http://schemas.openxmlformats.org/officeDocument/2006/relationships/hyperlink" Target="https://m.indiamart.com/sibi-polymers/" TargetMode="External"/><Relationship Id="rId258" Type="http://schemas.openxmlformats.org/officeDocument/2006/relationships/hyperlink" Target="https://silgandispensing.com/wp-content/uploads/2026/07/260504-Dispensing-Closures-Catalogue-HR-1.pdf" TargetMode="External"/><Relationship Id="rId259" Type="http://schemas.openxmlformats.org/officeDocument/2006/relationships/hyperlink" Target="https://silgandispensing.com/wp-content/uploads/2026/01/Dispensing-Closures-Catalogue-06.25-HR.pdf" TargetMode="External"/><Relationship Id="rId260" Type="http://schemas.openxmlformats.org/officeDocument/2006/relationships/hyperlink" Target="https://silgandispensing.com/wp-content/uploads/2018/01/20SDS0755_Closures-Product-Guide_r3.pdf" TargetMode="External"/><Relationship Id="rId261" Type="http://schemas.openxmlformats.org/officeDocument/2006/relationships/hyperlink" Target="https://m.indiamart.com/sonapetindustries" TargetMode="External"/><Relationship Id="rId262" Type="http://schemas.openxmlformats.org/officeDocument/2006/relationships/hyperlink" Target="https://m.indiamart.com/sonapetindustries/about-us.html" TargetMode="External"/><Relationship Id="rId263" Type="http://schemas.openxmlformats.org/officeDocument/2006/relationships/hyperlink" Target="https://m.indiamart.com/sonapetindustries/plastic-container.html" TargetMode="External"/><Relationship Id="rId264" Type="http://schemas.openxmlformats.org/officeDocument/2006/relationships/hyperlink" Target="https://disclosures.ifc.org/project-detail/ESRS/37933/srf-india-bopet" TargetMode="External"/><Relationship Id="rId265" Type="http://schemas.openxmlformats.org/officeDocument/2006/relationships/hyperlink" Target="https://www.packaging-gateway.com/news/srf-plans-to-invest-58m-in-bopet-production-facility-in-indore-india-090216-4805002/" TargetMode="External"/><Relationship Id="rId266" Type="http://schemas.openxmlformats.org/officeDocument/2006/relationships/hyperlink" Target="https://www.plasteurope.com/news/detail.asp?id=246416" TargetMode="External"/><Relationship Id="rId267" Type="http://schemas.openxmlformats.org/officeDocument/2006/relationships/hyperlink" Target="https://www.plasteurope.com/news/detail.asp?id=246416" TargetMode="External"/><Relationship Id="rId268" Type="http://schemas.openxmlformats.org/officeDocument/2006/relationships/hyperlink" Target="https://www.plasteurope.com/news/detail.asp?id=246416" TargetMode="External"/><Relationship Id="rId269" Type="http://schemas.openxmlformats.org/officeDocument/2006/relationships/hyperlink" Target="https://www.indianpharmapost.com/sustainability/srichakra-receives-european-food-safety-approval-for-its-food-grade-recycled-rpet-11622" TargetMode="External"/><Relationship Id="rId270" Type="http://schemas.openxmlformats.org/officeDocument/2006/relationships/hyperlink" Target="https://www.petnology.com/magazine/article/srichakra-becomes-the-first-indian-recycling-company-to-receive-a-positive-safety-assessment-from-european-food-safety-authority" TargetMode="External"/><Relationship Id="rId271" Type="http://schemas.openxmlformats.org/officeDocument/2006/relationships/hyperlink" Target="https://petpla.net/2025/04/28/srichakra-triples-bottle-grade-rpet-production-capacities/" TargetMode="External"/><Relationship Id="rId272" Type="http://schemas.openxmlformats.org/officeDocument/2006/relationships/hyperlink" Target="https://www.foodanddrinktechnology.com/news/48696/recycled-pet-for-indias-first-100-rpet-beverage-bottle-produced-by-srichakra-polyplast/" TargetMode="External"/><Relationship Id="rId273" Type="http://schemas.openxmlformats.org/officeDocument/2006/relationships/hyperlink" Target="https://petpla.net/2021/11/08/bottle-to-bottle-recycling-line-at-srichakra-polyplast-in-india/" TargetMode="External"/><Relationship Id="rId274" Type="http://schemas.openxmlformats.org/officeDocument/2006/relationships/hyperlink" Target="https://www.circulatecapital.com/wp-content/uploads/2022/11/Srichakra_Press-Release_March-9-2022.docx.pdf" TargetMode="External"/><Relationship Id="rId275" Type="http://schemas.openxmlformats.org/officeDocument/2006/relationships/hyperlink" Target="https://tekni-plex.com/en/articles/tri-seal-luxe-seal-2-pc-embossed-induction-seal-closer-liners" TargetMode="External"/><Relationship Id="rId276" Type="http://schemas.openxmlformats.org/officeDocument/2006/relationships/hyperlink" Target="https://www.healthcarepackaging.com/home/press-release/13289282/tekniplex-induction-seals" TargetMode="External"/><Relationship Id="rId277" Type="http://schemas.openxmlformats.org/officeDocument/2006/relationships/hyperlink" Target="https://www.oemmagazine.org/home/product/15693541/triseal-a-tekniplex-co-triseal-embossed-induction-seal-closure-liners" TargetMode="External"/><Relationship Id="rId278" Type="http://schemas.openxmlformats.org/officeDocument/2006/relationships/hyperlink" Target="https://tekni-plex.com/en/articles/tri-seal-unveils-latest-pouch-lidding-structures-for-medical-device-and-pharma-applications-at-mdm-west" TargetMode="External"/><Relationship Id="rId279" Type="http://schemas.openxmlformats.org/officeDocument/2006/relationships/hyperlink" Target="https://www.indiancooperative.com/co-op-news-snippets/maize-procurement-telangana-markfed-coordinating-with-nafed/" TargetMode="External"/><Relationship Id="rId280" Type="http://schemas.openxmlformats.org/officeDocument/2006/relationships/hyperlink" Target="https://www.siasat.com/telangana-govt-opens-maize-procurement-centres-after-brs-pressure-harish-rao-3438607/" TargetMode="External"/><Relationship Id="rId281" Type="http://schemas.openxmlformats.org/officeDocument/2006/relationships/hyperlink" Target="https://www.siasat.com/telanganas-maize-crisis-exposes-gaps-in-procurement-storage-systems-3468406/" TargetMode="External"/><Relationship Id="rId282" Type="http://schemas.openxmlformats.org/officeDocument/2006/relationships/hyperlink" Target="https://pharmaoffer.com/api-excipient-supplier/excipients/glucose-monohydrate/cep" TargetMode="External"/><Relationship Id="rId283" Type="http://schemas.openxmlformats.org/officeDocument/2006/relationships/hyperlink" Target="https://pharmaoffer.com/api-excipient-supplier/company/tereos" TargetMode="External"/><Relationship Id="rId284" Type="http://schemas.openxmlformats.org/officeDocument/2006/relationships/hyperlink" Target="https://www.quadragroup.store/products/meritose-200-pharma-p15325" TargetMode="External"/><Relationship Id="rId285" Type="http://schemas.openxmlformats.org/officeDocument/2006/relationships/hyperlink" Target="https://www.crisil.com/mnt/winshare/Ratings/RatingList/RatingDocs/TheSukhjitStarchandChemicalsLimited_June%2012_%202026_RR_394602.html" TargetMode="External"/><Relationship Id="rId286" Type="http://schemas.openxmlformats.org/officeDocument/2006/relationships/hyperlink" Target="https://www.careratings.com/upload/CompanyFiles/PR/20092022074241_The_Sukhjit_Starch_&amp;_Chemicals_Limited.pdf" TargetMode="External"/><Relationship Id="rId287" Type="http://schemas.openxmlformats.org/officeDocument/2006/relationships/hyperlink" Target="https://filingreader.com/news-wire/mumbai/2026-05-06/sukhjit-starch-to-shut-phagwara-unit-for-maintenance" TargetMode="External"/><Relationship Id="rId288" Type="http://schemas.openxmlformats.org/officeDocument/2006/relationships/hyperlink" Target="https://www.morningstar.com.au/investments/security/NSE/SUKHJITS" TargetMode="External"/><Relationship Id="rId289" Type="http://schemas.openxmlformats.org/officeDocument/2006/relationships/hyperlink" Target="https://www.crisil.com/mnt/winshare/Ratings/RatingList/RatingDocs/TheSukhjitStarchandChemicalsLimited_August%2009_%202024_RR_350173.html" TargetMode="External"/><Relationship Id="rId290" Type="http://schemas.openxmlformats.org/officeDocument/2006/relationships/hyperlink" Target="https://www.crisil.com/mnt/winshare/Ratings/RatingList/RatingDocs/TheSukhjitStarchandChemicalsLimited_July%2018_%202024_RR_347845.html" TargetMode="External"/><Relationship Id="rId291" Type="http://schemas.openxmlformats.org/officeDocument/2006/relationships/hyperlink" Target="https://www.careratings.com/upload/CompanyFiles/PR/The%20Sukhjit%20Starch%20&amp;%20Chemicals%20Limited-10-09-2017.pdf" TargetMode="External"/><Relationship Id="rId292" Type="http://schemas.openxmlformats.org/officeDocument/2006/relationships/hyperlink" Target="https://www.indiainfoline.com/company/sukhjit-starch-chemicals-ltd/summary" TargetMode="External"/><Relationship Id="rId293" Type="http://schemas.openxmlformats.org/officeDocument/2006/relationships/hyperlink" Target="https://www.indianchemicalnews.com/general/sukhjit-starch-signs-rs-500-crore-mou-with-maharashtra-for-nashik-maize-unit-31805" TargetMode="External"/><Relationship Id="rId294" Type="http://schemas.openxmlformats.org/officeDocument/2006/relationships/hyperlink" Target="https://www.freepressjournal.in/pune/nashik-sukhjit-biocorn-to-invest-760-crore-in-yeola-midc-agro-processing-plant" TargetMode="External"/><Relationship Id="rId295" Type="http://schemas.openxmlformats.org/officeDocument/2006/relationships/hyperlink" Target="https://www.crisil.com/mnt/winshare/Ratings/RatingList/RatingDocs/TheSukhjitStarchandChemicalsLimited_July%2020,%202023_RR_323242.html" TargetMode="External"/><Relationship Id="rId296" Type="http://schemas.openxmlformats.org/officeDocument/2006/relationships/hyperlink" Target="https://www.tianjiachem.com/dextrose-anhydrous-product/" TargetMode="External"/><Relationship Id="rId297" Type="http://schemas.openxmlformats.org/officeDocument/2006/relationships/hyperlink" Target="https://www.tilleydistributionproducts.com/products/clintose-dextrose-a" TargetMode="External"/><Relationship Id="rId298" Type="http://schemas.openxmlformats.org/officeDocument/2006/relationships/hyperlink" Target="https://tilleydistributionproducts.com/products/clintose-dextrose-vf" TargetMode="External"/><Relationship Id="rId299" Type="http://schemas.openxmlformats.org/officeDocument/2006/relationships/hyperlink" Target="https://musaffa.com/stock/524582.BO/" TargetMode="External"/><Relationship Id="rId300" Type="http://schemas.openxmlformats.org/officeDocument/2006/relationships/hyperlink" Target="https://www.indiainfoline.com/company/tirupati-starch-chemicals-ltd-management/summary/3872" TargetMode="External"/><Relationship Id="rId301" Type="http://schemas.openxmlformats.org/officeDocument/2006/relationships/hyperlink" Target="https://www.printweek.in/news/uflex-highlights-its-pharma-packaging-solutions-at-cphi-2019-42519" TargetMode="External"/><Relationship Id="rId302" Type="http://schemas.openxmlformats.org/officeDocument/2006/relationships/hyperlink" Target="https://packagingsouthasia.com/events/uflex-launches-stick-pack-machine-at-cphi-and-p-mec-2019/" TargetMode="External"/><Relationship Id="rId303" Type="http://schemas.openxmlformats.org/officeDocument/2006/relationships/hyperlink" Target="https://www.plastemart.com/news-plastics-information/UFlex-Limited-A-Global-Leader-in-Flexible-Packaging-Films/75103" TargetMode="External"/><Relationship Id="rId304" Type="http://schemas.openxmlformats.org/officeDocument/2006/relationships/hyperlink" Target="https://www.packaginginsights.com/profile-directory/uflex-limited.html" TargetMode="External"/><Relationship Id="rId305" Type="http://schemas.openxmlformats.org/officeDocument/2006/relationships/hyperlink" Target="https://www.cphi-online.com/company/universal-starch-chem-allied-ltd/" TargetMode="External"/><Relationship Id="rId306" Type="http://schemas.openxmlformats.org/officeDocument/2006/relationships/hyperlink" Target="https://www.cphi-online.com/product/dextrose-monohydrate-3/" TargetMode="External"/><Relationship Id="rId307" Type="http://schemas.openxmlformats.org/officeDocument/2006/relationships/hyperlink" Target="https://www.bloomberg.com/profile/company/UNIVSTAR:IN" TargetMode="External"/><Relationship Id="rId308" Type="http://schemas.openxmlformats.org/officeDocument/2006/relationships/hyperlink" Target="https://www.cphi-online.com/company/universal-starch-chem-allied-ltd/" TargetMode="External"/><Relationship Id="rId309" Type="http://schemas.openxmlformats.org/officeDocument/2006/relationships/hyperlink" Target="https://m.indiamart.com/universalstarch/corn-starch.html" TargetMode="External"/><Relationship Id="rId310" Type="http://schemas.openxmlformats.org/officeDocument/2006/relationships/hyperlink" Target="https://www.sharescart.com/company/univer-starch-chem/" TargetMode="External"/><Relationship Id="rId311" Type="http://schemas.openxmlformats.org/officeDocument/2006/relationships/hyperlink" Target="https://pharmaoffer.com/api-excipient-supplier/excipients/glucose-monohydrate/cep" TargetMode="External"/><Relationship Id="rId312" Type="http://schemas.openxmlformats.org/officeDocument/2006/relationships/hyperlink" Target="https://pharmacompass.com/us-drug-master-files-dmfs/anhydrous-dextrose" TargetMode="External"/><Relationship Id="rId313" Type="http://schemas.openxmlformats.org/officeDocument/2006/relationships/hyperlink" Target="https://www.cphi-online.com/company/weifang-shengtai-medicine-co-ltd/" TargetMode="External"/><Relationship Id="rId314" Type="http://schemas.openxmlformats.org/officeDocument/2006/relationships/hyperlink" Target="https://www.cphi-online.com/product/dextrose-anhydrous-3/" TargetMode="External"/><Relationship Id="rId315" Type="http://schemas.openxmlformats.org/officeDocument/2006/relationships/hyperlink" Target="https://www.cphi-online.com/product/dextrose-monohydrate-4/" TargetMode="External"/><Relationship Id="rId316" Type="http://schemas.openxmlformats.org/officeDocument/2006/relationships/hyperlink" Target="https://www.biospace.com/shengtai-pharmaceutical-inc-sets-up-new-sales-departments-to-accommodate-anticipated-ramp-in-operations-of-new-glucose-facility" TargetMode="External"/><Relationship Id="rId317" Type="http://schemas.openxmlformats.org/officeDocument/2006/relationships/hyperlink" Target="https://hk.finance.yahoo.com/quote/SGTI/profile" TargetMode="External"/><Relationship Id="rId318" Type="http://schemas.openxmlformats.org/officeDocument/2006/relationships/hyperlink" Target="https://www.xenexlabs.com/products/dextrose-anhydrous-powder-usp-25kg" TargetMode="External"/><Relationship Id="rId319" Type="http://schemas.openxmlformats.org/officeDocument/2006/relationships/hyperlink" Target="https://pharmaoffer.com/api-excipient-supplier/excipients/glucose-monohydrate/cep" TargetMode="External"/><Relationship Id="rId320" Type="http://schemas.openxmlformats.org/officeDocument/2006/relationships/hyperlink" Target="https://pharmacompass.com/us-drug-master-files-dmfs/anhydrous-dextrose" TargetMode="External"/><Relationship Id="rId321" Type="http://schemas.openxmlformats.org/officeDocument/2006/relationships/hyperlink" Target="https://www.pharmacompass.com/dmf-26450" TargetMode="External"/><Relationship Id="rId322" Type="http://schemas.openxmlformats.org/officeDocument/2006/relationships/hyperlink" Target="https://pharmaoffer.com/api-excipient-supplier/company/xiwang-pharma" TargetMode="External"/><Relationship Id="rId323"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c r="B5" s="5" t="s">
        <v>4</v>
      </c>
    </row>
    <row r="6" customFormat="false" ht="23.85" hidden="false" customHeight="false" outlineLevel="0" collapsed="false">
      <c r="A6" s="4" t="s">
        <v>5</v>
      </c>
      <c r="B6" s="5" t="s">
        <v>6</v>
      </c>
    </row>
    <row r="7" customFormat="false" ht="15" hidden="false" customHeight="false" outlineLevel="0" collapsed="false">
      <c r="A7" s="3" t="s">
        <v>7</v>
      </c>
    </row>
    <row r="8" customFormat="false" ht="23.85" hidden="false" customHeight="false" outlineLevel="0" collapsed="false">
      <c r="A8" s="4" t="s">
        <v>8</v>
      </c>
      <c r="B8" s="5" t="s">
        <v>9</v>
      </c>
    </row>
    <row r="9" customFormat="false" ht="23.85" hidden="false" customHeight="false" outlineLevel="0" collapsed="false">
      <c r="A9" s="4" t="s">
        <v>10</v>
      </c>
      <c r="B9" s="5" t="s">
        <v>11</v>
      </c>
    </row>
    <row r="10" customFormat="false" ht="15" hidden="false" customHeight="false" outlineLevel="0" collapsed="false">
      <c r="A10" s="4" t="s">
        <v>12</v>
      </c>
      <c r="B10" s="5" t="s">
        <v>13</v>
      </c>
    </row>
    <row r="11" customFormat="false" ht="15" hidden="false" customHeight="false" outlineLevel="0" collapsed="false">
      <c r="A11" s="4" t="s">
        <v>14</v>
      </c>
      <c r="B11" s="5" t="s">
        <v>15</v>
      </c>
    </row>
    <row r="12" customFormat="false" ht="15" hidden="false" customHeight="false" outlineLevel="0" collapsed="false">
      <c r="A12" s="3" t="s">
        <v>16</v>
      </c>
    </row>
    <row r="13" customFormat="false" ht="35.05" hidden="false" customHeight="false" outlineLevel="0" collapsed="false">
      <c r="A13" s="4" t="s">
        <v>17</v>
      </c>
      <c r="B13" s="5" t="s">
        <v>18</v>
      </c>
    </row>
    <row r="14" customFormat="false" ht="23.85" hidden="false" customHeight="false" outlineLevel="0" collapsed="false">
      <c r="A14" s="4" t="s">
        <v>19</v>
      </c>
      <c r="B14" s="5" t="s">
        <v>20</v>
      </c>
    </row>
    <row r="15" customFormat="false" ht="23.85" hidden="false" customHeight="false" outlineLevel="0" collapsed="false">
      <c r="A15" s="4" t="s">
        <v>21</v>
      </c>
      <c r="B15" s="5" t="s">
        <v>22</v>
      </c>
    </row>
    <row r="16" customFormat="false" ht="23.85" hidden="false" customHeight="false" outlineLevel="0" collapsed="false">
      <c r="A16" s="4" t="s">
        <v>23</v>
      </c>
      <c r="B16" s="5" t="s">
        <v>24</v>
      </c>
    </row>
    <row r="17" customFormat="false" ht="23.85" hidden="false" customHeight="false" outlineLevel="0" collapsed="false">
      <c r="A17" s="4" t="s">
        <v>25</v>
      </c>
      <c r="B17" s="5" t="s">
        <v>26</v>
      </c>
    </row>
    <row r="18" customFormat="false" ht="23.85" hidden="false" customHeight="false" outlineLevel="0" collapsed="false">
      <c r="A18" s="4" t="s">
        <v>27</v>
      </c>
      <c r="B18" s="5" t="s">
        <v>28</v>
      </c>
    </row>
    <row r="19" customFormat="false" ht="15" hidden="false" customHeight="false" outlineLevel="0" collapsed="false">
      <c r="A19" s="3" t="s">
        <v>29</v>
      </c>
    </row>
    <row r="20" customFormat="false" ht="23.85" hidden="false" customHeight="false" outlineLevel="0" collapsed="false">
      <c r="A20" s="4" t="s">
        <v>30</v>
      </c>
      <c r="B20" s="5" t="s">
        <v>31</v>
      </c>
    </row>
    <row r="21" customFormat="false" ht="23.85" hidden="false" customHeight="false" outlineLevel="0" collapsed="false">
      <c r="A21" s="4" t="s">
        <v>32</v>
      </c>
      <c r="B21" s="5" t="s">
        <v>33</v>
      </c>
    </row>
    <row r="22" customFormat="false" ht="23.85" hidden="false" customHeight="false" outlineLevel="0" collapsed="false">
      <c r="A22" s="4" t="s">
        <v>34</v>
      </c>
      <c r="B22" s="5" t="s">
        <v>35</v>
      </c>
    </row>
    <row r="23" customFormat="false" ht="23.85" hidden="false" customHeight="false" outlineLevel="0" collapsed="false">
      <c r="A23" s="4" t="s">
        <v>36</v>
      </c>
      <c r="B23" s="5" t="s">
        <v>37</v>
      </c>
    </row>
    <row r="24" customFormat="false" ht="15" hidden="false" customHeight="false" outlineLevel="0" collapsed="false">
      <c r="A24" s="3" t="s">
        <v>38</v>
      </c>
    </row>
    <row r="25" customFormat="false" ht="35.05" hidden="false" customHeight="false" outlineLevel="0" collapsed="false">
      <c r="A25" s="4" t="s">
        <v>39</v>
      </c>
      <c r="B25" s="5" t="s">
        <v>40</v>
      </c>
    </row>
    <row r="26" customFormat="false" ht="23.85" hidden="false" customHeight="false" outlineLevel="0" collapsed="false">
      <c r="A26" s="4" t="s">
        <v>14</v>
      </c>
      <c r="B26" s="5"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1" min="2" style="0" width="13"/>
  </cols>
  <sheetData>
    <row r="1" customFormat="false" ht="15" hidden="false" customHeight="false" outlineLevel="0" collapsed="false">
      <c r="A1" s="3" t="s">
        <v>42</v>
      </c>
    </row>
    <row r="3" customFormat="false" ht="30" hidden="false" customHeight="true" outlineLevel="0" collapsed="false">
      <c r="A3" s="6" t="s">
        <v>43</v>
      </c>
      <c r="B3" s="6" t="s">
        <v>44</v>
      </c>
      <c r="C3" s="6" t="s">
        <v>45</v>
      </c>
      <c r="D3" s="6" t="s">
        <v>46</v>
      </c>
      <c r="E3" s="6" t="s">
        <v>47</v>
      </c>
      <c r="F3" s="6" t="s">
        <v>48</v>
      </c>
      <c r="G3" s="6" t="s">
        <v>49</v>
      </c>
      <c r="H3" s="6" t="s">
        <v>50</v>
      </c>
      <c r="I3" s="6" t="s">
        <v>51</v>
      </c>
      <c r="J3" s="6" t="s">
        <v>52</v>
      </c>
    </row>
    <row r="4" customFormat="false" ht="15" hidden="false" customHeight="false" outlineLevel="0" collapsed="false">
      <c r="A4" s="2" t="s">
        <v>53</v>
      </c>
      <c r="B4" s="2" t="n">
        <f aca="false">COUNTIFS('All Supplier Lines'!$F$2:$F$107,$A4,'All Supplier Lines'!$N$2:$N$107,B$3)</f>
        <v>4</v>
      </c>
      <c r="C4" s="2" t="n">
        <f aca="false">COUNTIFS('All Supplier Lines'!$F$2:$F$107,$A4,'All Supplier Lines'!$N$2:$N$107,C$3)</f>
        <v>1</v>
      </c>
      <c r="D4" s="2" t="n">
        <f aca="false">COUNTIFS('All Supplier Lines'!$F$2:$F$107,$A4,'All Supplier Lines'!$N$2:$N$107,D$3)</f>
        <v>0</v>
      </c>
      <c r="E4" s="2" t="n">
        <f aca="false">COUNTIFS('All Supplier Lines'!$F$2:$F$107,$A4,'All Supplier Lines'!$N$2:$N$107,E$3)</f>
        <v>0</v>
      </c>
      <c r="F4" s="2" t="n">
        <f aca="false">COUNTIFS('All Supplier Lines'!$F$2:$F$107,$A4,'All Supplier Lines'!$N$2:$N$107,F$3)</f>
        <v>1</v>
      </c>
      <c r="G4" s="2" t="n">
        <f aca="false">COUNTIFS('All Supplier Lines'!$F$2:$F$107,$A4,'All Supplier Lines'!$N$2:$N$107,G$3)</f>
        <v>0</v>
      </c>
      <c r="H4" s="2" t="n">
        <f aca="false">COUNTIFS('All Supplier Lines'!$F$2:$F$107,$A4,'All Supplier Lines'!$N$2:$N$107,H$3)</f>
        <v>4</v>
      </c>
      <c r="I4" s="2" t="n">
        <f aca="false">COUNTIFS('All Supplier Lines'!$F$2:$F$107,$A4,'All Supplier Lines'!$N$2:$N$107,I$3)</f>
        <v>27</v>
      </c>
      <c r="J4" s="7" t="n">
        <f aca="false">SUM(B4:I4)</f>
        <v>37</v>
      </c>
    </row>
    <row r="5" customFormat="false" ht="15" hidden="false" customHeight="false" outlineLevel="0" collapsed="false">
      <c r="A5" s="2" t="s">
        <v>54</v>
      </c>
      <c r="B5" s="2" t="n">
        <f aca="false">COUNTIFS('All Supplier Lines'!$F$2:$F$107,$A5,'All Supplier Lines'!$N$2:$N$107,B$3)</f>
        <v>5</v>
      </c>
      <c r="C5" s="2" t="n">
        <f aca="false">COUNTIFS('All Supplier Lines'!$F$2:$F$107,$A5,'All Supplier Lines'!$N$2:$N$107,C$3)</f>
        <v>3</v>
      </c>
      <c r="D5" s="2" t="n">
        <f aca="false">COUNTIFS('All Supplier Lines'!$F$2:$F$107,$A5,'All Supplier Lines'!$N$2:$N$107,D$3)</f>
        <v>1</v>
      </c>
      <c r="E5" s="2" t="n">
        <f aca="false">COUNTIFS('All Supplier Lines'!$F$2:$F$107,$A5,'All Supplier Lines'!$N$2:$N$107,E$3)</f>
        <v>1</v>
      </c>
      <c r="F5" s="2" t="n">
        <f aca="false">COUNTIFS('All Supplier Lines'!$F$2:$F$107,$A5,'All Supplier Lines'!$N$2:$N$107,F$3)</f>
        <v>1</v>
      </c>
      <c r="G5" s="2" t="n">
        <f aca="false">COUNTIFS('All Supplier Lines'!$F$2:$F$107,$A5,'All Supplier Lines'!$N$2:$N$107,G$3)</f>
        <v>0</v>
      </c>
      <c r="H5" s="2" t="n">
        <f aca="false">COUNTIFS('All Supplier Lines'!$F$2:$F$107,$A5,'All Supplier Lines'!$N$2:$N$107,H$3)</f>
        <v>2</v>
      </c>
      <c r="I5" s="2" t="n">
        <f aca="false">COUNTIFS('All Supplier Lines'!$F$2:$F$107,$A5,'All Supplier Lines'!$N$2:$N$107,I$3)</f>
        <v>0</v>
      </c>
      <c r="J5" s="7" t="n">
        <f aca="false">SUM(B5:I5)</f>
        <v>13</v>
      </c>
    </row>
    <row r="6" customFormat="false" ht="15" hidden="false" customHeight="false" outlineLevel="0" collapsed="false">
      <c r="A6" s="2" t="s">
        <v>55</v>
      </c>
      <c r="B6" s="2" t="n">
        <f aca="false">COUNTIFS('All Supplier Lines'!$F$2:$F$107,$A6,'All Supplier Lines'!$N$2:$N$107,B$3)</f>
        <v>1</v>
      </c>
      <c r="C6" s="2" t="n">
        <f aca="false">COUNTIFS('All Supplier Lines'!$F$2:$F$107,$A6,'All Supplier Lines'!$N$2:$N$107,C$3)</f>
        <v>0</v>
      </c>
      <c r="D6" s="2" t="n">
        <f aca="false">COUNTIFS('All Supplier Lines'!$F$2:$F$107,$A6,'All Supplier Lines'!$N$2:$N$107,D$3)</f>
        <v>1</v>
      </c>
      <c r="E6" s="2" t="n">
        <f aca="false">COUNTIFS('All Supplier Lines'!$F$2:$F$107,$A6,'All Supplier Lines'!$N$2:$N$107,E$3)</f>
        <v>0</v>
      </c>
      <c r="F6" s="2" t="n">
        <f aca="false">COUNTIFS('All Supplier Lines'!$F$2:$F$107,$A6,'All Supplier Lines'!$N$2:$N$107,F$3)</f>
        <v>1</v>
      </c>
      <c r="G6" s="2" t="n">
        <f aca="false">COUNTIFS('All Supplier Lines'!$F$2:$F$107,$A6,'All Supplier Lines'!$N$2:$N$107,G$3)</f>
        <v>0</v>
      </c>
      <c r="H6" s="2" t="n">
        <f aca="false">COUNTIFS('All Supplier Lines'!$F$2:$F$107,$A6,'All Supplier Lines'!$N$2:$N$107,H$3)</f>
        <v>3</v>
      </c>
      <c r="I6" s="2" t="n">
        <f aca="false">COUNTIFS('All Supplier Lines'!$F$2:$F$107,$A6,'All Supplier Lines'!$N$2:$N$107,I$3)</f>
        <v>1</v>
      </c>
      <c r="J6" s="7" t="n">
        <f aca="false">SUM(B6:I6)</f>
        <v>7</v>
      </c>
    </row>
    <row r="7" customFormat="false" ht="15" hidden="false" customHeight="false" outlineLevel="0" collapsed="false">
      <c r="A7" s="2" t="s">
        <v>56</v>
      </c>
      <c r="B7" s="2" t="n">
        <f aca="false">COUNTIFS('All Supplier Lines'!$F$2:$F$107,$A7,'All Supplier Lines'!$N$2:$N$107,B$3)</f>
        <v>8</v>
      </c>
      <c r="C7" s="2" t="n">
        <f aca="false">COUNTIFS('All Supplier Lines'!$F$2:$F$107,$A7,'All Supplier Lines'!$N$2:$N$107,C$3)</f>
        <v>1</v>
      </c>
      <c r="D7" s="2" t="n">
        <f aca="false">COUNTIFS('All Supplier Lines'!$F$2:$F$107,$A7,'All Supplier Lines'!$N$2:$N$107,D$3)</f>
        <v>6</v>
      </c>
      <c r="E7" s="2" t="n">
        <f aca="false">COUNTIFS('All Supplier Lines'!$F$2:$F$107,$A7,'All Supplier Lines'!$N$2:$N$107,E$3)</f>
        <v>0</v>
      </c>
      <c r="F7" s="2" t="n">
        <f aca="false">COUNTIFS('All Supplier Lines'!$F$2:$F$107,$A7,'All Supplier Lines'!$N$2:$N$107,F$3)</f>
        <v>1</v>
      </c>
      <c r="G7" s="2" t="n">
        <f aca="false">COUNTIFS('All Supplier Lines'!$F$2:$F$107,$A7,'All Supplier Lines'!$N$2:$N$107,G$3)</f>
        <v>0</v>
      </c>
      <c r="H7" s="2" t="n">
        <f aca="false">COUNTIFS('All Supplier Lines'!$F$2:$F$107,$A7,'All Supplier Lines'!$N$2:$N$107,H$3)</f>
        <v>2</v>
      </c>
      <c r="I7" s="2" t="n">
        <f aca="false">COUNTIFS('All Supplier Lines'!$F$2:$F$107,$A7,'All Supplier Lines'!$N$2:$N$107,I$3)</f>
        <v>1</v>
      </c>
      <c r="J7" s="7" t="n">
        <f aca="false">SUM(B7:I7)</f>
        <v>19</v>
      </c>
    </row>
    <row r="8" customFormat="false" ht="15" hidden="false" customHeight="false" outlineLevel="0" collapsed="false">
      <c r="A8" s="2" t="s">
        <v>57</v>
      </c>
      <c r="B8" s="2" t="n">
        <f aca="false">COUNTIFS('All Supplier Lines'!$F$2:$F$107,$A8,'All Supplier Lines'!$N$2:$N$107,B$3)</f>
        <v>2</v>
      </c>
      <c r="C8" s="2" t="n">
        <f aca="false">COUNTIFS('All Supplier Lines'!$F$2:$F$107,$A8,'All Supplier Lines'!$N$2:$N$107,C$3)</f>
        <v>0</v>
      </c>
      <c r="D8" s="2" t="n">
        <f aca="false">COUNTIFS('All Supplier Lines'!$F$2:$F$107,$A8,'All Supplier Lines'!$N$2:$N$107,D$3)</f>
        <v>0</v>
      </c>
      <c r="E8" s="2" t="n">
        <f aca="false">COUNTIFS('All Supplier Lines'!$F$2:$F$107,$A8,'All Supplier Lines'!$N$2:$N$107,E$3)</f>
        <v>0</v>
      </c>
      <c r="F8" s="2" t="n">
        <f aca="false">COUNTIFS('All Supplier Lines'!$F$2:$F$107,$A8,'All Supplier Lines'!$N$2:$N$107,F$3)</f>
        <v>0</v>
      </c>
      <c r="G8" s="2" t="n">
        <f aca="false">COUNTIFS('All Supplier Lines'!$F$2:$F$107,$A8,'All Supplier Lines'!$N$2:$N$107,G$3)</f>
        <v>0</v>
      </c>
      <c r="H8" s="2" t="n">
        <f aca="false">COUNTIFS('All Supplier Lines'!$F$2:$F$107,$A8,'All Supplier Lines'!$N$2:$N$107,H$3)</f>
        <v>4</v>
      </c>
      <c r="I8" s="2" t="n">
        <f aca="false">COUNTIFS('All Supplier Lines'!$F$2:$F$107,$A8,'All Supplier Lines'!$N$2:$N$107,I$3)</f>
        <v>13</v>
      </c>
      <c r="J8" s="7" t="n">
        <f aca="false">SUM(B8:I8)</f>
        <v>19</v>
      </c>
    </row>
    <row r="9" customFormat="false" ht="15" hidden="false" customHeight="false" outlineLevel="0" collapsed="false">
      <c r="A9" s="2" t="s">
        <v>58</v>
      </c>
      <c r="B9" s="2" t="n">
        <f aca="false">COUNTIFS('All Supplier Lines'!$F$2:$F$107,$A9,'All Supplier Lines'!$N$2:$N$107,B$3)</f>
        <v>1</v>
      </c>
      <c r="C9" s="2" t="n">
        <f aca="false">COUNTIFS('All Supplier Lines'!$F$2:$F$107,$A9,'All Supplier Lines'!$N$2:$N$107,C$3)</f>
        <v>1</v>
      </c>
      <c r="D9" s="2" t="n">
        <f aca="false">COUNTIFS('All Supplier Lines'!$F$2:$F$107,$A9,'All Supplier Lines'!$N$2:$N$107,D$3)</f>
        <v>0</v>
      </c>
      <c r="E9" s="2" t="n">
        <f aca="false">COUNTIFS('All Supplier Lines'!$F$2:$F$107,$A9,'All Supplier Lines'!$N$2:$N$107,E$3)</f>
        <v>1</v>
      </c>
      <c r="F9" s="2" t="n">
        <f aca="false">COUNTIFS('All Supplier Lines'!$F$2:$F$107,$A9,'All Supplier Lines'!$N$2:$N$107,F$3)</f>
        <v>0</v>
      </c>
      <c r="G9" s="2" t="n">
        <f aca="false">COUNTIFS('All Supplier Lines'!$F$2:$F$107,$A9,'All Supplier Lines'!$N$2:$N$107,G$3)</f>
        <v>0</v>
      </c>
      <c r="H9" s="2" t="n">
        <f aca="false">COUNTIFS('All Supplier Lines'!$F$2:$F$107,$A9,'All Supplier Lines'!$N$2:$N$107,H$3)</f>
        <v>2</v>
      </c>
      <c r="I9" s="2" t="n">
        <f aca="false">COUNTIFS('All Supplier Lines'!$F$2:$F$107,$A9,'All Supplier Lines'!$N$2:$N$107,I$3)</f>
        <v>2</v>
      </c>
      <c r="J9" s="7" t="n">
        <f aca="false">SUM(B9:I9)</f>
        <v>7</v>
      </c>
    </row>
    <row r="10" customFormat="false" ht="15" hidden="false" customHeight="false" outlineLevel="0" collapsed="false">
      <c r="A10" s="2" t="s">
        <v>59</v>
      </c>
      <c r="B10" s="2" t="n">
        <f aca="false">COUNTIFS('All Supplier Lines'!$F$2:$F$107,$A10,'All Supplier Lines'!$N$2:$N$107,B$3)</f>
        <v>2</v>
      </c>
      <c r="C10" s="2" t="n">
        <f aca="false">COUNTIFS('All Supplier Lines'!$F$2:$F$107,$A10,'All Supplier Lines'!$N$2:$N$107,C$3)</f>
        <v>1</v>
      </c>
      <c r="D10" s="2" t="n">
        <f aca="false">COUNTIFS('All Supplier Lines'!$F$2:$F$107,$A10,'All Supplier Lines'!$N$2:$N$107,D$3)</f>
        <v>0</v>
      </c>
      <c r="E10" s="2" t="n">
        <f aca="false">COUNTIFS('All Supplier Lines'!$F$2:$F$107,$A10,'All Supplier Lines'!$N$2:$N$107,E$3)</f>
        <v>0</v>
      </c>
      <c r="F10" s="2" t="n">
        <f aca="false">COUNTIFS('All Supplier Lines'!$F$2:$F$107,$A10,'All Supplier Lines'!$N$2:$N$107,F$3)</f>
        <v>0</v>
      </c>
      <c r="G10" s="2" t="n">
        <f aca="false">COUNTIFS('All Supplier Lines'!$F$2:$F$107,$A10,'All Supplier Lines'!$N$2:$N$107,G$3)</f>
        <v>0</v>
      </c>
      <c r="H10" s="2" t="n">
        <f aca="false">COUNTIFS('All Supplier Lines'!$F$2:$F$107,$A10,'All Supplier Lines'!$N$2:$N$107,H$3)</f>
        <v>1</v>
      </c>
      <c r="I10" s="2" t="n">
        <f aca="false">COUNTIFS('All Supplier Lines'!$F$2:$F$107,$A10,'All Supplier Lines'!$N$2:$N$107,I$3)</f>
        <v>0</v>
      </c>
      <c r="J10" s="7" t="n">
        <f aca="false">SUM(B10:I10)</f>
        <v>4</v>
      </c>
    </row>
    <row r="11" customFormat="false" ht="15" hidden="false" customHeight="false" outlineLevel="0" collapsed="false">
      <c r="A11" s="7" t="s">
        <v>60</v>
      </c>
      <c r="B11" s="7" t="n">
        <f aca="false">SUM(B4:B10)</f>
        <v>23</v>
      </c>
      <c r="C11" s="7" t="n">
        <f aca="false">SUM(C4:C10)</f>
        <v>7</v>
      </c>
      <c r="D11" s="7" t="n">
        <f aca="false">SUM(D4:D10)</f>
        <v>8</v>
      </c>
      <c r="E11" s="7" t="n">
        <f aca="false">SUM(E4:E10)</f>
        <v>2</v>
      </c>
      <c r="F11" s="7" t="n">
        <f aca="false">SUM(F4:F10)</f>
        <v>4</v>
      </c>
      <c r="G11" s="7" t="n">
        <f aca="false">SUM(G4:G10)</f>
        <v>0</v>
      </c>
      <c r="H11" s="7" t="n">
        <f aca="false">SUM(H4:H10)</f>
        <v>18</v>
      </c>
      <c r="I11" s="7" t="n">
        <f aca="false">SUM(I4:I10)</f>
        <v>44</v>
      </c>
      <c r="J11" s="7" t="n">
        <f aca="false">SUM(J4:J10)</f>
        <v>106</v>
      </c>
    </row>
    <row r="13" customFormat="false" ht="15" hidden="false" customHeight="false" outlineLevel="0" collapsed="false">
      <c r="A13" s="3" t="s">
        <v>61</v>
      </c>
    </row>
    <row r="14" customFormat="false" ht="30" hidden="false" customHeight="true" outlineLevel="0" collapsed="false">
      <c r="A14" s="6" t="s">
        <v>43</v>
      </c>
      <c r="B14" s="6" t="s">
        <v>62</v>
      </c>
      <c r="C14" s="6" t="s">
        <v>63</v>
      </c>
      <c r="D14" s="6" t="s">
        <v>64</v>
      </c>
      <c r="E14" s="6" t="s">
        <v>65</v>
      </c>
      <c r="F14" s="6" t="s">
        <v>66</v>
      </c>
      <c r="G14" s="6" t="s">
        <v>67</v>
      </c>
    </row>
    <row r="15" customFormat="false" ht="15" hidden="false" customHeight="false" outlineLevel="0" collapsed="false">
      <c r="A15" s="2" t="s">
        <v>53</v>
      </c>
      <c r="B15" s="2" t="n">
        <f aca="false">COUNTIFS('All Supplier Lines'!$F$2:$F$107,$A15,'All Supplier Lines'!$Y$2:$Y$107,B$14)</f>
        <v>3</v>
      </c>
      <c r="C15" s="2" t="n">
        <f aca="false">COUNTIFS('All Supplier Lines'!$F$2:$F$107,$A15,'All Supplier Lines'!$Y$2:$Y$107,C$14)</f>
        <v>18</v>
      </c>
      <c r="D15" s="2" t="n">
        <f aca="false">COUNTIFS('All Supplier Lines'!$F$2:$F$107,$A15,'All Supplier Lines'!$Y$2:$Y$107,D$14)</f>
        <v>16</v>
      </c>
      <c r="E15" s="2" t="n">
        <f aca="false">COUNTIFS('All Supplier Lines'!$F$2:$F$107,$A15,'All Supplier Lines'!$M$2:$M$107,E$14)</f>
        <v>28</v>
      </c>
      <c r="F15" s="2" t="n">
        <f aca="false">COUNTIFS('All Supplier Lines'!$F$2:$F$107,$A15,'All Supplier Lines'!$M$2:$M$107,F$14)</f>
        <v>5</v>
      </c>
      <c r="G15" s="2" t="n">
        <f aca="false">COUNTIFS('All Supplier Lines'!$F$2:$F$107,$A15,'All Supplier Lines'!$M$2:$M$107,G$14)</f>
        <v>4</v>
      </c>
    </row>
    <row r="16" customFormat="false" ht="15" hidden="false" customHeight="false" outlineLevel="0" collapsed="false">
      <c r="A16" s="2" t="s">
        <v>54</v>
      </c>
      <c r="B16" s="2" t="n">
        <f aca="false">COUNTIFS('All Supplier Lines'!$F$2:$F$107,$A16,'All Supplier Lines'!$Y$2:$Y$107,B$14)</f>
        <v>1</v>
      </c>
      <c r="C16" s="2" t="n">
        <f aca="false">COUNTIFS('All Supplier Lines'!$F$2:$F$107,$A16,'All Supplier Lines'!$Y$2:$Y$107,C$14)</f>
        <v>9</v>
      </c>
      <c r="D16" s="2" t="n">
        <f aca="false">COUNTIFS('All Supplier Lines'!$F$2:$F$107,$A16,'All Supplier Lines'!$Y$2:$Y$107,D$14)</f>
        <v>3</v>
      </c>
      <c r="E16" s="2" t="n">
        <f aca="false">COUNTIFS('All Supplier Lines'!$F$2:$F$107,$A16,'All Supplier Lines'!$M$2:$M$107,E$14)</f>
        <v>0</v>
      </c>
      <c r="F16" s="2" t="n">
        <f aca="false">COUNTIFS('All Supplier Lines'!$F$2:$F$107,$A16,'All Supplier Lines'!$M$2:$M$107,F$14)</f>
        <v>0</v>
      </c>
      <c r="G16" s="2" t="n">
        <f aca="false">COUNTIFS('All Supplier Lines'!$F$2:$F$107,$A16,'All Supplier Lines'!$M$2:$M$107,G$14)</f>
        <v>0</v>
      </c>
    </row>
    <row r="17" customFormat="false" ht="15" hidden="false" customHeight="false" outlineLevel="0" collapsed="false">
      <c r="A17" s="2" t="s">
        <v>55</v>
      </c>
      <c r="B17" s="2" t="n">
        <f aca="false">COUNTIFS('All Supplier Lines'!$F$2:$F$107,$A17,'All Supplier Lines'!$Y$2:$Y$107,B$14)</f>
        <v>0</v>
      </c>
      <c r="C17" s="2" t="n">
        <f aca="false">COUNTIFS('All Supplier Lines'!$F$2:$F$107,$A17,'All Supplier Lines'!$Y$2:$Y$107,C$14)</f>
        <v>6</v>
      </c>
      <c r="D17" s="2" t="n">
        <f aca="false">COUNTIFS('All Supplier Lines'!$F$2:$F$107,$A17,'All Supplier Lines'!$Y$2:$Y$107,D$14)</f>
        <v>1</v>
      </c>
      <c r="E17" s="2" t="n">
        <f aca="false">COUNTIFS('All Supplier Lines'!$F$2:$F$107,$A17,'All Supplier Lines'!$M$2:$M$107,E$14)</f>
        <v>1</v>
      </c>
      <c r="F17" s="2" t="n">
        <f aca="false">COUNTIFS('All Supplier Lines'!$F$2:$F$107,$A17,'All Supplier Lines'!$M$2:$M$107,F$14)</f>
        <v>6</v>
      </c>
      <c r="G17" s="2" t="n">
        <f aca="false">COUNTIFS('All Supplier Lines'!$F$2:$F$107,$A17,'All Supplier Lines'!$M$2:$M$107,G$14)</f>
        <v>0</v>
      </c>
    </row>
    <row r="18" customFormat="false" ht="15" hidden="false" customHeight="false" outlineLevel="0" collapsed="false">
      <c r="A18" s="2" t="s">
        <v>56</v>
      </c>
      <c r="B18" s="2" t="n">
        <f aca="false">COUNTIFS('All Supplier Lines'!$F$2:$F$107,$A18,'All Supplier Lines'!$Y$2:$Y$107,B$14)</f>
        <v>0</v>
      </c>
      <c r="C18" s="2" t="n">
        <f aca="false">COUNTIFS('All Supplier Lines'!$F$2:$F$107,$A18,'All Supplier Lines'!$Y$2:$Y$107,C$14)</f>
        <v>5</v>
      </c>
      <c r="D18" s="2" t="n">
        <f aca="false">COUNTIFS('All Supplier Lines'!$F$2:$F$107,$A18,'All Supplier Lines'!$Y$2:$Y$107,D$14)</f>
        <v>14</v>
      </c>
      <c r="E18" s="2" t="n">
        <f aca="false">COUNTIFS('All Supplier Lines'!$F$2:$F$107,$A18,'All Supplier Lines'!$M$2:$M$107,E$14)</f>
        <v>12</v>
      </c>
      <c r="F18" s="2" t="n">
        <f aca="false">COUNTIFS('All Supplier Lines'!$F$2:$F$107,$A18,'All Supplier Lines'!$M$2:$M$107,F$14)</f>
        <v>2</v>
      </c>
      <c r="G18" s="2" t="n">
        <f aca="false">COUNTIFS('All Supplier Lines'!$F$2:$F$107,$A18,'All Supplier Lines'!$M$2:$M$107,G$14)</f>
        <v>5</v>
      </c>
    </row>
    <row r="19" customFormat="false" ht="15" hidden="false" customHeight="false" outlineLevel="0" collapsed="false">
      <c r="A19" s="2" t="s">
        <v>57</v>
      </c>
      <c r="B19" s="2" t="n">
        <f aca="false">COUNTIFS('All Supplier Lines'!$F$2:$F$107,$A19,'All Supplier Lines'!$Y$2:$Y$107,B$14)</f>
        <v>0</v>
      </c>
      <c r="C19" s="2" t="n">
        <f aca="false">COUNTIFS('All Supplier Lines'!$F$2:$F$107,$A19,'All Supplier Lines'!$Y$2:$Y$107,C$14)</f>
        <v>13</v>
      </c>
      <c r="D19" s="2" t="n">
        <f aca="false">COUNTIFS('All Supplier Lines'!$F$2:$F$107,$A19,'All Supplier Lines'!$Y$2:$Y$107,D$14)</f>
        <v>6</v>
      </c>
      <c r="E19" s="2" t="n">
        <f aca="false">COUNTIFS('All Supplier Lines'!$F$2:$F$107,$A19,'All Supplier Lines'!$M$2:$M$107,E$14)</f>
        <v>18</v>
      </c>
      <c r="F19" s="2" t="n">
        <f aca="false">COUNTIFS('All Supplier Lines'!$F$2:$F$107,$A19,'All Supplier Lines'!$M$2:$M$107,F$14)</f>
        <v>0</v>
      </c>
      <c r="G19" s="2" t="n">
        <f aca="false">COUNTIFS('All Supplier Lines'!$F$2:$F$107,$A19,'All Supplier Lines'!$M$2:$M$107,G$14)</f>
        <v>1</v>
      </c>
    </row>
    <row r="20" customFormat="false" ht="15" hidden="false" customHeight="false" outlineLevel="0" collapsed="false">
      <c r="A20" s="2" t="s">
        <v>58</v>
      </c>
      <c r="B20" s="2" t="n">
        <f aca="false">COUNTIFS('All Supplier Lines'!$F$2:$F$107,$A20,'All Supplier Lines'!$Y$2:$Y$107,B$14)</f>
        <v>0</v>
      </c>
      <c r="C20" s="2" t="n">
        <f aca="false">COUNTIFS('All Supplier Lines'!$F$2:$F$107,$A20,'All Supplier Lines'!$Y$2:$Y$107,C$14)</f>
        <v>7</v>
      </c>
      <c r="D20" s="2" t="n">
        <f aca="false">COUNTIFS('All Supplier Lines'!$F$2:$F$107,$A20,'All Supplier Lines'!$Y$2:$Y$107,D$14)</f>
        <v>0</v>
      </c>
      <c r="E20" s="2" t="n">
        <f aca="false">COUNTIFS('All Supplier Lines'!$F$2:$F$107,$A20,'All Supplier Lines'!$M$2:$M$107,E$14)</f>
        <v>1</v>
      </c>
      <c r="F20" s="2" t="n">
        <f aca="false">COUNTIFS('All Supplier Lines'!$F$2:$F$107,$A20,'All Supplier Lines'!$M$2:$M$107,F$14)</f>
        <v>6</v>
      </c>
      <c r="G20" s="2" t="n">
        <f aca="false">COUNTIFS('All Supplier Lines'!$F$2:$F$107,$A20,'All Supplier Lines'!$M$2:$M$107,G$14)</f>
        <v>0</v>
      </c>
    </row>
    <row r="21" customFormat="false" ht="15" hidden="false" customHeight="false" outlineLevel="0" collapsed="false">
      <c r="A21" s="2" t="s">
        <v>59</v>
      </c>
      <c r="B21" s="2" t="n">
        <f aca="false">COUNTIFS('All Supplier Lines'!$F$2:$F$107,$A21,'All Supplier Lines'!$Y$2:$Y$107,B$14)</f>
        <v>0</v>
      </c>
      <c r="C21" s="2" t="n">
        <f aca="false">COUNTIFS('All Supplier Lines'!$F$2:$F$107,$A21,'All Supplier Lines'!$Y$2:$Y$107,C$14)</f>
        <v>4</v>
      </c>
      <c r="D21" s="2" t="n">
        <f aca="false">COUNTIFS('All Supplier Lines'!$F$2:$F$107,$A21,'All Supplier Lines'!$Y$2:$Y$107,D$14)</f>
        <v>0</v>
      </c>
      <c r="E21" s="2" t="n">
        <f aca="false">COUNTIFS('All Supplier Lines'!$F$2:$F$107,$A21,'All Supplier Lines'!$M$2:$M$107,E$14)</f>
        <v>4</v>
      </c>
      <c r="F21" s="2" t="n">
        <f aca="false">COUNTIFS('All Supplier Lines'!$F$2:$F$107,$A21,'All Supplier Lines'!$M$2:$M$107,F$14)</f>
        <v>0</v>
      </c>
      <c r="G21" s="2" t="n">
        <f aca="false">COUNTIFS('All Supplier Lines'!$F$2:$F$107,$A21,'All Supplier Lines'!$M$2:$M$107,G$14)</f>
        <v>0</v>
      </c>
    </row>
    <row r="23" customFormat="false" ht="15" hidden="false" customHeight="false" outlineLevel="0" collapsed="false">
      <c r="A23" s="7" t="s">
        <v>68</v>
      </c>
      <c r="B23" s="7" t="n">
        <f aca="false">COUNTA(Companies!$A$2:$A$98)</f>
        <v>97</v>
      </c>
    </row>
    <row r="24" customFormat="false" ht="15" hidden="false" customHeight="false" outlineLevel="0" collapsed="false">
      <c r="A24" s="7" t="s">
        <v>69</v>
      </c>
      <c r="B24" s="7" t="n">
        <f aca="false">COUNTIF(Companies!$J$2:$J$98,"&gt;1")</f>
        <v>9</v>
      </c>
    </row>
    <row r="25" customFormat="false" ht="15" hidden="false" customHeight="false" outlineLevel="0" collapsed="false">
      <c r="A25" s="7" t="s">
        <v>70</v>
      </c>
      <c r="B25" s="7" t="n">
        <f aca="false">COUNTA(Sources!$D$2:$D$323)</f>
        <v>322</v>
      </c>
    </row>
    <row r="27" customFormat="false" ht="15" hidden="false" customHeight="false" outlineLevel="0" collapsed="false">
      <c r="A27" s="8"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6" min="6" style="0" width="26"/>
    <col collapsed="false" customWidth="true" hidden="false" outlineLevel="0" max="7" min="7" style="0" width="12"/>
    <col collapsed="false" customWidth="true" hidden="false" outlineLevel="0" max="8" min="8" style="0" width="14"/>
    <col collapsed="false" customWidth="true" hidden="false" outlineLevel="0" max="9" min="9" style="0" width="40"/>
    <col collapsed="false" customWidth="true" hidden="false" outlineLevel="0" max="10" min="10" style="0" width="10"/>
    <col collapsed="false" customWidth="true" hidden="false" outlineLevel="0" max="12" min="11" style="0" width="28"/>
    <col collapsed="false" customWidth="true" hidden="false" outlineLevel="0" max="13" min="13" style="0" width="30"/>
    <col collapsed="false" customWidth="true" hidden="false" outlineLevel="0" max="14" min="14" style="0" width="26"/>
    <col collapsed="false" customWidth="true" hidden="false" outlineLevel="0" max="15" min="15" style="0" width="28"/>
    <col collapsed="false" customWidth="true" hidden="false" outlineLevel="0" max="16" min="16" style="0" width="34"/>
    <col collapsed="false" customWidth="true" hidden="false" outlineLevel="0" max="17" min="17" style="0" width="11"/>
    <col collapsed="false" customWidth="true" hidden="false" outlineLevel="0" max="18" min="18" style="0" width="9"/>
    <col collapsed="false" customWidth="true" hidden="false" outlineLevel="0" max="19" min="19" style="0" width="60"/>
  </cols>
  <sheetData>
    <row r="1" customFormat="false" ht="31.5" hidden="false" customHeight="true" outlineLevel="0" collapsed="false">
      <c r="A1" s="6" t="s">
        <v>72</v>
      </c>
      <c r="B1" s="6" t="s">
        <v>73</v>
      </c>
      <c r="C1" s="6" t="s">
        <v>74</v>
      </c>
      <c r="D1" s="6" t="s">
        <v>30</v>
      </c>
      <c r="E1" s="6" t="s">
        <v>75</v>
      </c>
      <c r="F1" s="6" t="s">
        <v>76</v>
      </c>
      <c r="G1" s="6" t="s">
        <v>77</v>
      </c>
      <c r="H1" s="6" t="s">
        <v>78</v>
      </c>
      <c r="I1" s="6" t="s">
        <v>79</v>
      </c>
      <c r="J1" s="6" t="s">
        <v>80</v>
      </c>
      <c r="K1" s="6" t="s">
        <v>81</v>
      </c>
      <c r="L1" s="6" t="s">
        <v>82</v>
      </c>
      <c r="M1" s="6" t="s">
        <v>83</v>
      </c>
      <c r="N1" s="6" t="s">
        <v>84</v>
      </c>
      <c r="O1" s="6" t="s">
        <v>85</v>
      </c>
      <c r="P1" s="6" t="s">
        <v>86</v>
      </c>
      <c r="Q1" s="6" t="s">
        <v>87</v>
      </c>
      <c r="R1" s="6" t="s">
        <v>88</v>
      </c>
      <c r="S1" s="6" t="s">
        <v>14</v>
      </c>
    </row>
    <row r="2" customFormat="false" ht="15" hidden="false" customHeight="false" outlineLevel="0" collapsed="false">
      <c r="A2" s="9" t="s">
        <v>89</v>
      </c>
      <c r="B2" s="5" t="s">
        <v>90</v>
      </c>
      <c r="C2" s="9" t="s">
        <v>91</v>
      </c>
      <c r="D2" s="9" t="s">
        <v>92</v>
      </c>
      <c r="E2" s="9"/>
      <c r="F2" s="9"/>
      <c r="G2" s="9" t="s">
        <v>93</v>
      </c>
      <c r="H2" s="9" t="s">
        <v>44</v>
      </c>
      <c r="I2" s="5" t="s">
        <v>56</v>
      </c>
      <c r="J2" s="9" t="n">
        <v>1</v>
      </c>
      <c r="K2" s="9" t="s">
        <v>94</v>
      </c>
      <c r="L2" s="9"/>
      <c r="M2" s="9"/>
      <c r="N2" s="9"/>
      <c r="O2" s="9"/>
      <c r="P2" s="9"/>
      <c r="Q2" s="9" t="s">
        <v>64</v>
      </c>
      <c r="R2" s="9" t="n">
        <v>2</v>
      </c>
      <c r="S2" s="5" t="s">
        <v>95</v>
      </c>
    </row>
    <row r="3" customFormat="false" ht="23.85" hidden="false" customHeight="false" outlineLevel="0" collapsed="false">
      <c r="A3" s="9" t="s">
        <v>96</v>
      </c>
      <c r="B3" s="5" t="s">
        <v>97</v>
      </c>
      <c r="C3" s="9" t="s">
        <v>98</v>
      </c>
      <c r="D3" s="9" t="s">
        <v>92</v>
      </c>
      <c r="E3" s="10" t="s">
        <v>99</v>
      </c>
      <c r="F3" s="9" t="s">
        <v>93</v>
      </c>
      <c r="G3" s="9" t="s">
        <v>93</v>
      </c>
      <c r="H3" s="9" t="s">
        <v>50</v>
      </c>
      <c r="I3" s="5" t="s">
        <v>59</v>
      </c>
      <c r="J3" s="9" t="n">
        <v>1</v>
      </c>
      <c r="K3" s="9" t="s">
        <v>100</v>
      </c>
      <c r="L3" s="9" t="s">
        <v>101</v>
      </c>
      <c r="M3" s="9"/>
      <c r="N3" s="9"/>
      <c r="O3" s="9"/>
      <c r="P3" s="9"/>
      <c r="Q3" s="9" t="s">
        <v>63</v>
      </c>
      <c r="R3" s="9" t="n">
        <v>4</v>
      </c>
      <c r="S3" s="5" t="s">
        <v>102</v>
      </c>
    </row>
    <row r="4" customFormat="false" ht="15" hidden="false" customHeight="false" outlineLevel="0" collapsed="false">
      <c r="A4" s="9" t="s">
        <v>103</v>
      </c>
      <c r="B4" s="5" t="s">
        <v>104</v>
      </c>
      <c r="C4" s="9"/>
      <c r="D4" s="9" t="s">
        <v>92</v>
      </c>
      <c r="E4" s="9"/>
      <c r="F4" s="9" t="s">
        <v>105</v>
      </c>
      <c r="G4" s="9" t="s">
        <v>105</v>
      </c>
      <c r="H4" s="9" t="s">
        <v>51</v>
      </c>
      <c r="I4" s="5" t="s">
        <v>53</v>
      </c>
      <c r="J4" s="9" t="n">
        <v>1</v>
      </c>
      <c r="K4" s="9" t="s">
        <v>106</v>
      </c>
      <c r="L4" s="9"/>
      <c r="M4" s="9"/>
      <c r="N4" s="9"/>
      <c r="O4" s="9"/>
      <c r="P4" s="9" t="s">
        <v>107</v>
      </c>
      <c r="Q4" s="9" t="s">
        <v>64</v>
      </c>
      <c r="R4" s="9" t="n">
        <v>1</v>
      </c>
      <c r="S4" s="9" t="s">
        <v>108</v>
      </c>
    </row>
    <row r="5" customFormat="false" ht="15" hidden="false" customHeight="false" outlineLevel="0" collapsed="false">
      <c r="A5" s="9" t="s">
        <v>109</v>
      </c>
      <c r="B5" s="5" t="s">
        <v>110</v>
      </c>
      <c r="C5" s="9" t="s">
        <v>111</v>
      </c>
      <c r="D5" s="9" t="s">
        <v>92</v>
      </c>
      <c r="E5" s="10" t="s">
        <v>112</v>
      </c>
      <c r="F5" s="9" t="s">
        <v>113</v>
      </c>
      <c r="G5" s="9" t="s">
        <v>93</v>
      </c>
      <c r="H5" s="9" t="s">
        <v>44</v>
      </c>
      <c r="I5" s="5" t="s">
        <v>57</v>
      </c>
      <c r="J5" s="9" t="n">
        <v>1</v>
      </c>
      <c r="K5" s="9" t="s">
        <v>114</v>
      </c>
      <c r="L5" s="9" t="s">
        <v>115</v>
      </c>
      <c r="M5" s="9"/>
      <c r="N5" s="9"/>
      <c r="O5" s="9"/>
      <c r="P5" s="9"/>
      <c r="Q5" s="9" t="s">
        <v>63</v>
      </c>
      <c r="R5" s="9" t="n">
        <v>3</v>
      </c>
      <c r="S5" s="5" t="s">
        <v>116</v>
      </c>
    </row>
    <row r="6" customFormat="false" ht="15" hidden="false" customHeight="false" outlineLevel="0" collapsed="false">
      <c r="A6" s="9" t="s">
        <v>117</v>
      </c>
      <c r="B6" s="5" t="s">
        <v>118</v>
      </c>
      <c r="C6" s="9" t="s">
        <v>111</v>
      </c>
      <c r="D6" s="9" t="s">
        <v>92</v>
      </c>
      <c r="E6" s="10" t="s">
        <v>119</v>
      </c>
      <c r="F6" s="9" t="s">
        <v>120</v>
      </c>
      <c r="G6" s="9" t="s">
        <v>121</v>
      </c>
      <c r="H6" s="9" t="s">
        <v>51</v>
      </c>
      <c r="I6" s="5" t="s">
        <v>57</v>
      </c>
      <c r="J6" s="9" t="n">
        <v>1</v>
      </c>
      <c r="K6" s="9" t="s">
        <v>114</v>
      </c>
      <c r="L6" s="9" t="s">
        <v>122</v>
      </c>
      <c r="M6" s="9"/>
      <c r="N6" s="9"/>
      <c r="O6" s="9"/>
      <c r="P6" s="9"/>
      <c r="Q6" s="9" t="s">
        <v>64</v>
      </c>
      <c r="R6" s="9" t="n">
        <v>1</v>
      </c>
      <c r="S6" s="9" t="s">
        <v>123</v>
      </c>
    </row>
    <row r="7" customFormat="false" ht="15" hidden="false" customHeight="false" outlineLevel="0" collapsed="false">
      <c r="A7" s="9" t="s">
        <v>124</v>
      </c>
      <c r="B7" s="5" t="s">
        <v>125</v>
      </c>
      <c r="C7" s="9" t="s">
        <v>126</v>
      </c>
      <c r="D7" s="9" t="s">
        <v>92</v>
      </c>
      <c r="E7" s="10" t="s">
        <v>127</v>
      </c>
      <c r="F7" s="9" t="s">
        <v>128</v>
      </c>
      <c r="G7" s="9" t="s">
        <v>121</v>
      </c>
      <c r="H7" s="9" t="s">
        <v>51</v>
      </c>
      <c r="I7" s="5" t="s">
        <v>53</v>
      </c>
      <c r="J7" s="9" t="n">
        <v>1</v>
      </c>
      <c r="K7" s="9" t="s">
        <v>114</v>
      </c>
      <c r="L7" s="9" t="s">
        <v>129</v>
      </c>
      <c r="M7" s="9"/>
      <c r="N7" s="9"/>
      <c r="O7" s="9"/>
      <c r="P7" s="9"/>
      <c r="Q7" s="9" t="s">
        <v>63</v>
      </c>
      <c r="R7" s="9" t="n">
        <v>3</v>
      </c>
      <c r="S7" s="5" t="s">
        <v>130</v>
      </c>
    </row>
    <row r="8" customFormat="false" ht="15" hidden="false" customHeight="false" outlineLevel="0" collapsed="false">
      <c r="A8" s="9" t="s">
        <v>131</v>
      </c>
      <c r="B8" s="5" t="s">
        <v>132</v>
      </c>
      <c r="C8" s="9" t="s">
        <v>133</v>
      </c>
      <c r="D8" s="9" t="s">
        <v>92</v>
      </c>
      <c r="E8" s="9"/>
      <c r="F8" s="9" t="s">
        <v>134</v>
      </c>
      <c r="G8" s="9" t="s">
        <v>134</v>
      </c>
      <c r="H8" s="9" t="s">
        <v>51</v>
      </c>
      <c r="I8" s="5" t="s">
        <v>53</v>
      </c>
      <c r="J8" s="9" t="n">
        <v>1</v>
      </c>
      <c r="K8" s="9" t="s">
        <v>135</v>
      </c>
      <c r="L8" s="9"/>
      <c r="M8" s="9"/>
      <c r="N8" s="9"/>
      <c r="O8" s="9"/>
      <c r="P8" s="9" t="s">
        <v>136</v>
      </c>
      <c r="Q8" s="9" t="s">
        <v>64</v>
      </c>
      <c r="R8" s="9" t="n">
        <v>1</v>
      </c>
      <c r="S8" s="9" t="s">
        <v>108</v>
      </c>
    </row>
    <row r="9" customFormat="false" ht="15" hidden="false" customHeight="false" outlineLevel="0" collapsed="false">
      <c r="A9" s="9" t="s">
        <v>137</v>
      </c>
      <c r="B9" s="5" t="s">
        <v>138</v>
      </c>
      <c r="C9" s="9" t="s">
        <v>139</v>
      </c>
      <c r="D9" s="9" t="s">
        <v>92</v>
      </c>
      <c r="E9" s="10" t="s">
        <v>140</v>
      </c>
      <c r="F9" s="9" t="s">
        <v>141</v>
      </c>
      <c r="G9" s="9" t="s">
        <v>121</v>
      </c>
      <c r="H9" s="9" t="s">
        <v>51</v>
      </c>
      <c r="I9" s="5" t="s">
        <v>53</v>
      </c>
      <c r="J9" s="9" t="n">
        <v>1</v>
      </c>
      <c r="K9" s="9" t="s">
        <v>142</v>
      </c>
      <c r="L9" s="9" t="s">
        <v>143</v>
      </c>
      <c r="M9" s="9"/>
      <c r="N9" s="9"/>
      <c r="O9" s="9"/>
      <c r="P9" s="9"/>
      <c r="Q9" s="9" t="s">
        <v>63</v>
      </c>
      <c r="R9" s="9" t="n">
        <v>4</v>
      </c>
      <c r="S9" s="5" t="s">
        <v>144</v>
      </c>
    </row>
    <row r="10" customFormat="false" ht="15" hidden="false" customHeight="false" outlineLevel="0" collapsed="false">
      <c r="A10" s="9" t="s">
        <v>145</v>
      </c>
      <c r="B10" s="5" t="s">
        <v>146</v>
      </c>
      <c r="C10" s="9" t="s">
        <v>147</v>
      </c>
      <c r="D10" s="9" t="s">
        <v>92</v>
      </c>
      <c r="E10" s="10" t="s">
        <v>148</v>
      </c>
      <c r="F10" s="9" t="s">
        <v>149</v>
      </c>
      <c r="G10" s="9" t="s">
        <v>150</v>
      </c>
      <c r="H10" s="9" t="s">
        <v>51</v>
      </c>
      <c r="I10" s="5" t="s">
        <v>57</v>
      </c>
      <c r="J10" s="9" t="n">
        <v>1</v>
      </c>
      <c r="K10" s="9" t="s">
        <v>114</v>
      </c>
      <c r="L10" s="9" t="s">
        <v>151</v>
      </c>
      <c r="M10" s="9"/>
      <c r="N10" s="9"/>
      <c r="O10" s="9"/>
      <c r="P10" s="9"/>
      <c r="Q10" s="9" t="s">
        <v>63</v>
      </c>
      <c r="R10" s="9" t="n">
        <v>3</v>
      </c>
      <c r="S10" s="5" t="s">
        <v>152</v>
      </c>
    </row>
    <row r="11" customFormat="false" ht="15" hidden="false" customHeight="false" outlineLevel="0" collapsed="false">
      <c r="A11" s="9" t="s">
        <v>153</v>
      </c>
      <c r="B11" s="5" t="s">
        <v>154</v>
      </c>
      <c r="C11" s="9" t="s">
        <v>155</v>
      </c>
      <c r="D11" s="9" t="s">
        <v>156</v>
      </c>
      <c r="E11" s="10" t="s">
        <v>148</v>
      </c>
      <c r="F11" s="9" t="s">
        <v>157</v>
      </c>
      <c r="G11" s="9" t="s">
        <v>93</v>
      </c>
      <c r="H11" s="9" t="s">
        <v>44</v>
      </c>
      <c r="I11" s="5" t="s">
        <v>57</v>
      </c>
      <c r="J11" s="9" t="n">
        <v>1</v>
      </c>
      <c r="K11" s="9" t="s">
        <v>114</v>
      </c>
      <c r="L11" s="9" t="s">
        <v>158</v>
      </c>
      <c r="M11" s="9" t="s">
        <v>159</v>
      </c>
      <c r="N11" s="9"/>
      <c r="O11" s="9"/>
      <c r="P11" s="9"/>
      <c r="Q11" s="9" t="s">
        <v>63</v>
      </c>
      <c r="R11" s="9" t="n">
        <v>4</v>
      </c>
      <c r="S11" s="5" t="s">
        <v>160</v>
      </c>
    </row>
    <row r="12" customFormat="false" ht="15" hidden="false" customHeight="false" outlineLevel="0" collapsed="false">
      <c r="A12" s="9" t="s">
        <v>161</v>
      </c>
      <c r="B12" s="5" t="s">
        <v>162</v>
      </c>
      <c r="C12" s="9" t="s">
        <v>163</v>
      </c>
      <c r="D12" s="9" t="s">
        <v>92</v>
      </c>
      <c r="E12" s="10" t="s">
        <v>164</v>
      </c>
      <c r="F12" s="9" t="s">
        <v>128</v>
      </c>
      <c r="G12" s="9" t="s">
        <v>121</v>
      </c>
      <c r="H12" s="9" t="s">
        <v>51</v>
      </c>
      <c r="I12" s="5" t="s">
        <v>57</v>
      </c>
      <c r="J12" s="9" t="n">
        <v>1</v>
      </c>
      <c r="K12" s="9" t="s">
        <v>106</v>
      </c>
      <c r="L12" s="9"/>
      <c r="M12" s="9"/>
      <c r="N12" s="9"/>
      <c r="O12" s="9"/>
      <c r="P12" s="9"/>
      <c r="Q12" s="9" t="s">
        <v>64</v>
      </c>
      <c r="R12" s="9" t="n">
        <v>1</v>
      </c>
      <c r="S12" s="9" t="s">
        <v>165</v>
      </c>
    </row>
    <row r="13" customFormat="false" ht="15" hidden="false" customHeight="false" outlineLevel="0" collapsed="false">
      <c r="A13" s="9" t="s">
        <v>166</v>
      </c>
      <c r="B13" s="5" t="s">
        <v>167</v>
      </c>
      <c r="C13" s="9" t="s">
        <v>168</v>
      </c>
      <c r="D13" s="9" t="s">
        <v>92</v>
      </c>
      <c r="E13" s="10" t="s">
        <v>169</v>
      </c>
      <c r="F13" s="9" t="s">
        <v>170</v>
      </c>
      <c r="G13" s="9" t="s">
        <v>121</v>
      </c>
      <c r="H13" s="9" t="s">
        <v>51</v>
      </c>
      <c r="I13" s="5" t="s">
        <v>57</v>
      </c>
      <c r="J13" s="9" t="n">
        <v>1</v>
      </c>
      <c r="K13" s="9" t="s">
        <v>114</v>
      </c>
      <c r="L13" s="9" t="s">
        <v>171</v>
      </c>
      <c r="M13" s="9"/>
      <c r="N13" s="9"/>
      <c r="O13" s="9"/>
      <c r="P13" s="9"/>
      <c r="Q13" s="9" t="s">
        <v>63</v>
      </c>
      <c r="R13" s="9" t="n">
        <v>5</v>
      </c>
      <c r="S13" s="5" t="s">
        <v>172</v>
      </c>
    </row>
    <row r="14" customFormat="false" ht="15" hidden="false" customHeight="false" outlineLevel="0" collapsed="false">
      <c r="A14" s="9" t="s">
        <v>173</v>
      </c>
      <c r="B14" s="5" t="s">
        <v>174</v>
      </c>
      <c r="C14" s="9" t="s">
        <v>175</v>
      </c>
      <c r="D14" s="9" t="s">
        <v>92</v>
      </c>
      <c r="E14" s="10" t="s">
        <v>176</v>
      </c>
      <c r="F14" s="9" t="s">
        <v>177</v>
      </c>
      <c r="G14" s="9" t="s">
        <v>150</v>
      </c>
      <c r="H14" s="9" t="s">
        <v>51</v>
      </c>
      <c r="I14" s="5" t="s">
        <v>53</v>
      </c>
      <c r="J14" s="9" t="n">
        <v>1</v>
      </c>
      <c r="K14" s="9" t="s">
        <v>106</v>
      </c>
      <c r="L14" s="9"/>
      <c r="M14" s="9"/>
      <c r="N14" s="9"/>
      <c r="O14" s="9"/>
      <c r="P14" s="9"/>
      <c r="Q14" s="9" t="s">
        <v>63</v>
      </c>
      <c r="R14" s="9" t="n">
        <v>2</v>
      </c>
      <c r="S14" s="5" t="s">
        <v>178</v>
      </c>
    </row>
    <row r="15" customFormat="false" ht="15" hidden="false" customHeight="false" outlineLevel="0" collapsed="false">
      <c r="A15" s="9" t="s">
        <v>179</v>
      </c>
      <c r="B15" s="5" t="s">
        <v>180</v>
      </c>
      <c r="C15" s="9" t="s">
        <v>181</v>
      </c>
      <c r="D15" s="9" t="s">
        <v>92</v>
      </c>
      <c r="E15" s="10" t="s">
        <v>182</v>
      </c>
      <c r="F15" s="9" t="s">
        <v>183</v>
      </c>
      <c r="G15" s="9" t="s">
        <v>183</v>
      </c>
      <c r="H15" s="9" t="s">
        <v>51</v>
      </c>
      <c r="I15" s="5" t="s">
        <v>53</v>
      </c>
      <c r="J15" s="9" t="n">
        <v>1</v>
      </c>
      <c r="K15" s="9" t="s">
        <v>114</v>
      </c>
      <c r="L15" s="9" t="s">
        <v>184</v>
      </c>
      <c r="M15" s="9"/>
      <c r="N15" s="9"/>
      <c r="O15" s="9"/>
      <c r="P15" s="9" t="s">
        <v>185</v>
      </c>
      <c r="Q15" s="9" t="s">
        <v>63</v>
      </c>
      <c r="R15" s="9" t="n">
        <v>5</v>
      </c>
      <c r="S15" s="5" t="s">
        <v>186</v>
      </c>
    </row>
    <row r="16" customFormat="false" ht="15" hidden="false" customHeight="false" outlineLevel="0" collapsed="false">
      <c r="A16" s="9" t="s">
        <v>187</v>
      </c>
      <c r="B16" s="5" t="s">
        <v>188</v>
      </c>
      <c r="C16" s="9" t="s">
        <v>189</v>
      </c>
      <c r="D16" s="9" t="s">
        <v>92</v>
      </c>
      <c r="E16" s="10" t="s">
        <v>190</v>
      </c>
      <c r="F16" s="9" t="s">
        <v>191</v>
      </c>
      <c r="G16" s="9" t="s">
        <v>121</v>
      </c>
      <c r="H16" s="9" t="s">
        <v>51</v>
      </c>
      <c r="I16" s="5" t="s">
        <v>53</v>
      </c>
      <c r="J16" s="9" t="n">
        <v>1</v>
      </c>
      <c r="K16" s="9" t="s">
        <v>114</v>
      </c>
      <c r="L16" s="9" t="s">
        <v>192</v>
      </c>
      <c r="M16" s="9"/>
      <c r="N16" s="9"/>
      <c r="O16" s="9"/>
      <c r="P16" s="9"/>
      <c r="Q16" s="9" t="s">
        <v>63</v>
      </c>
      <c r="R16" s="9" t="n">
        <v>2</v>
      </c>
      <c r="S16" s="5" t="s">
        <v>193</v>
      </c>
    </row>
    <row r="17" customFormat="false" ht="15" hidden="false" customHeight="false" outlineLevel="0" collapsed="false">
      <c r="A17" s="9" t="s">
        <v>194</v>
      </c>
      <c r="B17" s="5" t="s">
        <v>195</v>
      </c>
      <c r="C17" s="9" t="s">
        <v>196</v>
      </c>
      <c r="D17" s="9" t="s">
        <v>92</v>
      </c>
      <c r="E17" s="10" t="s">
        <v>197</v>
      </c>
      <c r="F17" s="9"/>
      <c r="G17" s="9" t="s">
        <v>93</v>
      </c>
      <c r="H17" s="9" t="s">
        <v>44</v>
      </c>
      <c r="I17" s="5" t="s">
        <v>198</v>
      </c>
      <c r="J17" s="9" t="n">
        <v>2</v>
      </c>
      <c r="K17" s="9" t="s">
        <v>199</v>
      </c>
      <c r="L17" s="9" t="s">
        <v>200</v>
      </c>
      <c r="M17" s="9"/>
      <c r="N17" s="9"/>
      <c r="O17" s="9"/>
      <c r="P17" s="9" t="s">
        <v>201</v>
      </c>
      <c r="Q17" s="9" t="s">
        <v>63</v>
      </c>
      <c r="R17" s="9" t="n">
        <v>7</v>
      </c>
      <c r="S17" s="5" t="s">
        <v>202</v>
      </c>
    </row>
    <row r="18" customFormat="false" ht="15" hidden="false" customHeight="false" outlineLevel="0" collapsed="false">
      <c r="A18" s="9" t="s">
        <v>203</v>
      </c>
      <c r="B18" s="5" t="s">
        <v>204</v>
      </c>
      <c r="C18" s="9" t="s">
        <v>204</v>
      </c>
      <c r="D18" s="9" t="s">
        <v>92</v>
      </c>
      <c r="E18" s="9"/>
      <c r="F18" s="9" t="s">
        <v>205</v>
      </c>
      <c r="G18" s="9" t="s">
        <v>205</v>
      </c>
      <c r="H18" s="9" t="s">
        <v>51</v>
      </c>
      <c r="I18" s="5" t="s">
        <v>53</v>
      </c>
      <c r="J18" s="9" t="n">
        <v>1</v>
      </c>
      <c r="K18" s="9" t="s">
        <v>106</v>
      </c>
      <c r="L18" s="9"/>
      <c r="M18" s="9"/>
      <c r="N18" s="9"/>
      <c r="O18" s="9"/>
      <c r="P18" s="9" t="s">
        <v>206</v>
      </c>
      <c r="Q18" s="9" t="s">
        <v>64</v>
      </c>
      <c r="R18" s="9" t="n">
        <v>2</v>
      </c>
      <c r="S18" s="5" t="s">
        <v>207</v>
      </c>
    </row>
    <row r="19" customFormat="false" ht="15" hidden="false" customHeight="false" outlineLevel="0" collapsed="false">
      <c r="A19" s="9" t="s">
        <v>208</v>
      </c>
      <c r="B19" s="5" t="s">
        <v>209</v>
      </c>
      <c r="C19" s="9" t="s">
        <v>210</v>
      </c>
      <c r="D19" s="9" t="s">
        <v>92</v>
      </c>
      <c r="E19" s="9"/>
      <c r="F19" s="9"/>
      <c r="G19" s="9"/>
      <c r="H19" s="9" t="s">
        <v>51</v>
      </c>
      <c r="I19" s="5" t="s">
        <v>57</v>
      </c>
      <c r="J19" s="9" t="n">
        <v>1</v>
      </c>
      <c r="K19" s="9" t="s">
        <v>114</v>
      </c>
      <c r="L19" s="9"/>
      <c r="M19" s="9"/>
      <c r="N19" s="9"/>
      <c r="O19" s="9"/>
      <c r="P19" s="9"/>
      <c r="Q19" s="9" t="s">
        <v>63</v>
      </c>
      <c r="R19" s="9" t="n">
        <v>3</v>
      </c>
      <c r="S19" s="5" t="s">
        <v>211</v>
      </c>
    </row>
    <row r="20" customFormat="false" ht="15" hidden="false" customHeight="false" outlineLevel="0" collapsed="false">
      <c r="A20" s="9" t="s">
        <v>212</v>
      </c>
      <c r="B20" s="5" t="s">
        <v>213</v>
      </c>
      <c r="C20" s="9" t="s">
        <v>213</v>
      </c>
      <c r="D20" s="9" t="s">
        <v>92</v>
      </c>
      <c r="E20" s="9"/>
      <c r="F20" s="9"/>
      <c r="G20" s="9" t="s">
        <v>121</v>
      </c>
      <c r="H20" s="9" t="s">
        <v>51</v>
      </c>
      <c r="I20" s="5" t="s">
        <v>57</v>
      </c>
      <c r="J20" s="9" t="n">
        <v>1</v>
      </c>
      <c r="K20" s="9" t="s">
        <v>114</v>
      </c>
      <c r="L20" s="9"/>
      <c r="M20" s="9"/>
      <c r="N20" s="9"/>
      <c r="O20" s="9"/>
      <c r="P20" s="9"/>
      <c r="Q20" s="9" t="s">
        <v>63</v>
      </c>
      <c r="R20" s="9" t="n">
        <v>3</v>
      </c>
      <c r="S20" s="5" t="s">
        <v>214</v>
      </c>
    </row>
    <row r="21" customFormat="false" ht="23.85" hidden="false" customHeight="false" outlineLevel="0" collapsed="false">
      <c r="A21" s="9" t="s">
        <v>215</v>
      </c>
      <c r="B21" s="5" t="s">
        <v>216</v>
      </c>
      <c r="C21" s="9" t="s">
        <v>217</v>
      </c>
      <c r="D21" s="9" t="s">
        <v>92</v>
      </c>
      <c r="E21" s="10" t="s">
        <v>218</v>
      </c>
      <c r="F21" s="9" t="s">
        <v>219</v>
      </c>
      <c r="G21" s="9" t="s">
        <v>93</v>
      </c>
      <c r="H21" s="9" t="s">
        <v>44</v>
      </c>
      <c r="I21" s="5" t="s">
        <v>59</v>
      </c>
      <c r="J21" s="9" t="n">
        <v>1</v>
      </c>
      <c r="K21" s="9" t="s">
        <v>100</v>
      </c>
      <c r="L21" s="9" t="s">
        <v>220</v>
      </c>
      <c r="M21" s="9"/>
      <c r="N21" s="9"/>
      <c r="O21" s="9"/>
      <c r="P21" s="9"/>
      <c r="Q21" s="9" t="s">
        <v>63</v>
      </c>
      <c r="R21" s="9" t="n">
        <v>6</v>
      </c>
      <c r="S21" s="5" t="s">
        <v>221</v>
      </c>
    </row>
    <row r="22" customFormat="false" ht="15" hidden="false" customHeight="false" outlineLevel="0" collapsed="false">
      <c r="A22" s="9" t="s">
        <v>222</v>
      </c>
      <c r="B22" s="5" t="s">
        <v>223</v>
      </c>
      <c r="C22" s="9" t="s">
        <v>224</v>
      </c>
      <c r="D22" s="9" t="s">
        <v>92</v>
      </c>
      <c r="E22" s="10" t="s">
        <v>225</v>
      </c>
      <c r="F22" s="9" t="s">
        <v>226</v>
      </c>
      <c r="G22" s="9" t="s">
        <v>226</v>
      </c>
      <c r="H22" s="9" t="s">
        <v>51</v>
      </c>
      <c r="I22" s="5" t="s">
        <v>53</v>
      </c>
      <c r="J22" s="9" t="n">
        <v>1</v>
      </c>
      <c r="K22" s="9" t="s">
        <v>106</v>
      </c>
      <c r="L22" s="9"/>
      <c r="M22" s="9"/>
      <c r="N22" s="9"/>
      <c r="O22" s="9"/>
      <c r="P22" s="9"/>
      <c r="Q22" s="9" t="s">
        <v>63</v>
      </c>
      <c r="R22" s="9" t="n">
        <v>1</v>
      </c>
      <c r="S22" s="9" t="s">
        <v>227</v>
      </c>
    </row>
    <row r="23" customFormat="false" ht="15" hidden="false" customHeight="false" outlineLevel="0" collapsed="false">
      <c r="A23" s="9" t="s">
        <v>228</v>
      </c>
      <c r="B23" s="5" t="s">
        <v>229</v>
      </c>
      <c r="C23" s="9"/>
      <c r="D23" s="9" t="s">
        <v>92</v>
      </c>
      <c r="E23" s="10" t="s">
        <v>230</v>
      </c>
      <c r="F23" s="9"/>
      <c r="G23" s="9" t="s">
        <v>93</v>
      </c>
      <c r="H23" s="9" t="s">
        <v>46</v>
      </c>
      <c r="I23" s="5" t="s">
        <v>56</v>
      </c>
      <c r="J23" s="9" t="n">
        <v>1</v>
      </c>
      <c r="K23" s="9" t="s">
        <v>231</v>
      </c>
      <c r="L23" s="9"/>
      <c r="M23" s="9"/>
      <c r="N23" s="9"/>
      <c r="O23" s="9"/>
      <c r="P23" s="9"/>
      <c r="Q23" s="9" t="s">
        <v>64</v>
      </c>
      <c r="R23" s="9" t="n">
        <v>1</v>
      </c>
      <c r="S23" s="9" t="s">
        <v>232</v>
      </c>
    </row>
    <row r="24" customFormat="false" ht="15" hidden="false" customHeight="false" outlineLevel="0" collapsed="false">
      <c r="A24" s="9" t="s">
        <v>233</v>
      </c>
      <c r="B24" s="5" t="s">
        <v>234</v>
      </c>
      <c r="C24" s="9" t="s">
        <v>235</v>
      </c>
      <c r="D24" s="9" t="s">
        <v>92</v>
      </c>
      <c r="E24" s="9"/>
      <c r="F24" s="9" t="s">
        <v>236</v>
      </c>
      <c r="G24" s="9" t="s">
        <v>134</v>
      </c>
      <c r="H24" s="9" t="s">
        <v>51</v>
      </c>
      <c r="I24" s="5" t="s">
        <v>53</v>
      </c>
      <c r="J24" s="9" t="n">
        <v>1</v>
      </c>
      <c r="K24" s="9" t="s">
        <v>114</v>
      </c>
      <c r="L24" s="9" t="s">
        <v>237</v>
      </c>
      <c r="M24" s="9"/>
      <c r="N24" s="9"/>
      <c r="O24" s="9"/>
      <c r="P24" s="9" t="s">
        <v>238</v>
      </c>
      <c r="Q24" s="9" t="s">
        <v>63</v>
      </c>
      <c r="R24" s="9" t="n">
        <v>3</v>
      </c>
      <c r="S24" s="5" t="s">
        <v>239</v>
      </c>
    </row>
    <row r="25" customFormat="false" ht="15" hidden="false" customHeight="false" outlineLevel="0" collapsed="false">
      <c r="A25" s="9" t="s">
        <v>240</v>
      </c>
      <c r="B25" s="5" t="s">
        <v>241</v>
      </c>
      <c r="C25" s="9" t="s">
        <v>242</v>
      </c>
      <c r="D25" s="9" t="s">
        <v>92</v>
      </c>
      <c r="E25" s="9"/>
      <c r="F25" s="9"/>
      <c r="G25" s="9" t="s">
        <v>93</v>
      </c>
      <c r="H25" s="9" t="s">
        <v>50</v>
      </c>
      <c r="I25" s="5" t="s">
        <v>55</v>
      </c>
      <c r="J25" s="9" t="n">
        <v>1</v>
      </c>
      <c r="K25" s="9" t="s">
        <v>243</v>
      </c>
      <c r="L25" s="9" t="s">
        <v>244</v>
      </c>
      <c r="M25" s="9"/>
      <c r="N25" s="9"/>
      <c r="O25" s="9"/>
      <c r="P25" s="9"/>
      <c r="Q25" s="9" t="s">
        <v>63</v>
      </c>
      <c r="R25" s="9" t="n">
        <v>5</v>
      </c>
      <c r="S25" s="5" t="s">
        <v>245</v>
      </c>
    </row>
    <row r="26" customFormat="false" ht="15" hidden="false" customHeight="false" outlineLevel="0" collapsed="false">
      <c r="A26" s="9" t="s">
        <v>246</v>
      </c>
      <c r="B26" s="5" t="s">
        <v>247</v>
      </c>
      <c r="C26" s="9" t="s">
        <v>248</v>
      </c>
      <c r="D26" s="9" t="s">
        <v>156</v>
      </c>
      <c r="E26" s="9"/>
      <c r="F26" s="9"/>
      <c r="G26" s="9" t="s">
        <v>121</v>
      </c>
      <c r="H26" s="9" t="s">
        <v>51</v>
      </c>
      <c r="I26" s="5" t="s">
        <v>57</v>
      </c>
      <c r="J26" s="9" t="n">
        <v>1</v>
      </c>
      <c r="K26" s="9" t="s">
        <v>114</v>
      </c>
      <c r="L26" s="9"/>
      <c r="M26" s="9"/>
      <c r="N26" s="9"/>
      <c r="O26" s="9"/>
      <c r="P26" s="9"/>
      <c r="Q26" s="9" t="s">
        <v>64</v>
      </c>
      <c r="R26" s="9" t="n">
        <v>3</v>
      </c>
      <c r="S26" s="5" t="s">
        <v>249</v>
      </c>
    </row>
    <row r="27" customFormat="false" ht="15" hidden="false" customHeight="false" outlineLevel="0" collapsed="false">
      <c r="A27" s="9" t="s">
        <v>250</v>
      </c>
      <c r="B27" s="5" t="s">
        <v>251</v>
      </c>
      <c r="C27" s="9" t="s">
        <v>252</v>
      </c>
      <c r="D27" s="9" t="s">
        <v>156</v>
      </c>
      <c r="E27" s="10" t="s">
        <v>253</v>
      </c>
      <c r="F27" s="9" t="s">
        <v>254</v>
      </c>
      <c r="G27" s="9" t="s">
        <v>93</v>
      </c>
      <c r="H27" s="9" t="s">
        <v>45</v>
      </c>
      <c r="I27" s="5" t="s">
        <v>54</v>
      </c>
      <c r="J27" s="9" t="n">
        <v>1</v>
      </c>
      <c r="K27" s="9" t="s">
        <v>255</v>
      </c>
      <c r="L27" s="9" t="s">
        <v>256</v>
      </c>
      <c r="M27" s="9" t="s">
        <v>257</v>
      </c>
      <c r="N27" s="9"/>
      <c r="O27" s="9"/>
      <c r="P27" s="9"/>
      <c r="Q27" s="9" t="s">
        <v>63</v>
      </c>
      <c r="R27" s="9" t="n">
        <v>2</v>
      </c>
      <c r="S27" s="5" t="s">
        <v>258</v>
      </c>
    </row>
    <row r="28" customFormat="false" ht="15" hidden="false" customHeight="false" outlineLevel="0" collapsed="false">
      <c r="A28" s="9" t="s">
        <v>259</v>
      </c>
      <c r="B28" s="5" t="s">
        <v>260</v>
      </c>
      <c r="C28" s="9" t="s">
        <v>260</v>
      </c>
      <c r="D28" s="9" t="s">
        <v>92</v>
      </c>
      <c r="E28" s="10" t="s">
        <v>261</v>
      </c>
      <c r="F28" s="9" t="s">
        <v>93</v>
      </c>
      <c r="G28" s="9" t="s">
        <v>93</v>
      </c>
      <c r="H28" s="9" t="s">
        <v>50</v>
      </c>
      <c r="I28" s="5" t="s">
        <v>53</v>
      </c>
      <c r="J28" s="9" t="n">
        <v>1</v>
      </c>
      <c r="K28" s="9" t="s">
        <v>262</v>
      </c>
      <c r="L28" s="9" t="s">
        <v>151</v>
      </c>
      <c r="M28" s="9"/>
      <c r="N28" s="9"/>
      <c r="O28" s="9"/>
      <c r="P28" s="9"/>
      <c r="Q28" s="9" t="s">
        <v>64</v>
      </c>
      <c r="R28" s="9" t="n">
        <v>1</v>
      </c>
      <c r="S28" s="9" t="s">
        <v>263</v>
      </c>
    </row>
    <row r="29" customFormat="false" ht="15" hidden="false" customHeight="false" outlineLevel="0" collapsed="false">
      <c r="A29" s="9" t="s">
        <v>264</v>
      </c>
      <c r="B29" s="5" t="s">
        <v>265</v>
      </c>
      <c r="C29" s="9" t="s">
        <v>266</v>
      </c>
      <c r="D29" s="9" t="s">
        <v>156</v>
      </c>
      <c r="E29" s="10" t="s">
        <v>267</v>
      </c>
      <c r="F29" s="9"/>
      <c r="G29" s="9" t="s">
        <v>93</v>
      </c>
      <c r="H29" s="9" t="s">
        <v>50</v>
      </c>
      <c r="I29" s="5" t="s">
        <v>58</v>
      </c>
      <c r="J29" s="9" t="n">
        <v>1</v>
      </c>
      <c r="K29" s="9" t="s">
        <v>114</v>
      </c>
      <c r="L29" s="9" t="s">
        <v>268</v>
      </c>
      <c r="M29" s="9"/>
      <c r="N29" s="9"/>
      <c r="O29" s="9" t="s">
        <v>269</v>
      </c>
      <c r="P29" s="9"/>
      <c r="Q29" s="9" t="s">
        <v>63</v>
      </c>
      <c r="R29" s="9" t="n">
        <v>2</v>
      </c>
      <c r="S29" s="5" t="s">
        <v>270</v>
      </c>
    </row>
    <row r="30" customFormat="false" ht="15" hidden="false" customHeight="false" outlineLevel="0" collapsed="false">
      <c r="A30" s="9" t="s">
        <v>271</v>
      </c>
      <c r="B30" s="5" t="s">
        <v>272</v>
      </c>
      <c r="C30" s="9" t="s">
        <v>273</v>
      </c>
      <c r="D30" s="9" t="s">
        <v>92</v>
      </c>
      <c r="E30" s="9"/>
      <c r="F30" s="9"/>
      <c r="G30" s="9" t="s">
        <v>93</v>
      </c>
      <c r="H30" s="9" t="s">
        <v>50</v>
      </c>
      <c r="I30" s="5" t="s">
        <v>55</v>
      </c>
      <c r="J30" s="9" t="n">
        <v>1</v>
      </c>
      <c r="K30" s="9" t="s">
        <v>274</v>
      </c>
      <c r="L30" s="9" t="s">
        <v>275</v>
      </c>
      <c r="M30" s="9"/>
      <c r="N30" s="9"/>
      <c r="O30" s="9"/>
      <c r="P30" s="9"/>
      <c r="Q30" s="9" t="s">
        <v>63</v>
      </c>
      <c r="R30" s="9" t="n">
        <v>4</v>
      </c>
      <c r="S30" s="5" t="s">
        <v>276</v>
      </c>
    </row>
    <row r="31" customFormat="false" ht="15" hidden="false" customHeight="false" outlineLevel="0" collapsed="false">
      <c r="A31" s="9" t="s">
        <v>277</v>
      </c>
      <c r="B31" s="5" t="s">
        <v>278</v>
      </c>
      <c r="C31" s="9" t="s">
        <v>279</v>
      </c>
      <c r="D31" s="9" t="s">
        <v>156</v>
      </c>
      <c r="E31" s="10" t="s">
        <v>280</v>
      </c>
      <c r="F31" s="9"/>
      <c r="G31" s="9" t="s">
        <v>93</v>
      </c>
      <c r="H31" s="9" t="s">
        <v>44</v>
      </c>
      <c r="I31" s="5" t="s">
        <v>58</v>
      </c>
      <c r="J31" s="9" t="n">
        <v>1</v>
      </c>
      <c r="K31" s="9" t="s">
        <v>114</v>
      </c>
      <c r="L31" s="9" t="s">
        <v>281</v>
      </c>
      <c r="M31" s="9"/>
      <c r="N31" s="9"/>
      <c r="O31" s="9"/>
      <c r="P31" s="9"/>
      <c r="Q31" s="9" t="s">
        <v>63</v>
      </c>
      <c r="R31" s="9" t="n">
        <v>2</v>
      </c>
      <c r="S31" s="5" t="s">
        <v>282</v>
      </c>
    </row>
    <row r="32" customFormat="false" ht="15" hidden="false" customHeight="false" outlineLevel="0" collapsed="false">
      <c r="A32" s="9" t="s">
        <v>283</v>
      </c>
      <c r="B32" s="5" t="s">
        <v>284</v>
      </c>
      <c r="C32" s="9" t="s">
        <v>285</v>
      </c>
      <c r="D32" s="9" t="s">
        <v>92</v>
      </c>
      <c r="E32" s="10" t="s">
        <v>286</v>
      </c>
      <c r="F32" s="9" t="s">
        <v>287</v>
      </c>
      <c r="G32" s="9" t="s">
        <v>150</v>
      </c>
      <c r="H32" s="9" t="s">
        <v>50</v>
      </c>
      <c r="I32" s="5" t="s">
        <v>57</v>
      </c>
      <c r="J32" s="9" t="n">
        <v>1</v>
      </c>
      <c r="K32" s="9" t="s">
        <v>114</v>
      </c>
      <c r="L32" s="9" t="s">
        <v>288</v>
      </c>
      <c r="M32" s="9"/>
      <c r="N32" s="9"/>
      <c r="O32" s="9"/>
      <c r="P32" s="9"/>
      <c r="Q32" s="9" t="s">
        <v>63</v>
      </c>
      <c r="R32" s="9" t="n">
        <v>1</v>
      </c>
      <c r="S32" s="9" t="s">
        <v>289</v>
      </c>
    </row>
    <row r="33" customFormat="false" ht="15" hidden="false" customHeight="false" outlineLevel="0" collapsed="false">
      <c r="A33" s="9" t="s">
        <v>290</v>
      </c>
      <c r="B33" s="5" t="s">
        <v>291</v>
      </c>
      <c r="C33" s="9" t="s">
        <v>292</v>
      </c>
      <c r="D33" s="9" t="s">
        <v>92</v>
      </c>
      <c r="E33" s="9"/>
      <c r="F33" s="9"/>
      <c r="G33" s="9"/>
      <c r="H33" s="9" t="s">
        <v>51</v>
      </c>
      <c r="I33" s="5" t="s">
        <v>57</v>
      </c>
      <c r="J33" s="9" t="n">
        <v>1</v>
      </c>
      <c r="K33" s="9" t="s">
        <v>114</v>
      </c>
      <c r="L33" s="9"/>
      <c r="M33" s="9"/>
      <c r="N33" s="9"/>
      <c r="O33" s="9"/>
      <c r="P33" s="9"/>
      <c r="Q33" s="9" t="s">
        <v>63</v>
      </c>
      <c r="R33" s="9" t="n">
        <v>4</v>
      </c>
      <c r="S33" s="5" t="s">
        <v>293</v>
      </c>
    </row>
    <row r="34" customFormat="false" ht="15" hidden="false" customHeight="false" outlineLevel="0" collapsed="false">
      <c r="A34" s="9" t="s">
        <v>294</v>
      </c>
      <c r="B34" s="5" t="s">
        <v>295</v>
      </c>
      <c r="C34" s="9" t="s">
        <v>296</v>
      </c>
      <c r="D34" s="9" t="s">
        <v>156</v>
      </c>
      <c r="E34" s="10" t="s">
        <v>297</v>
      </c>
      <c r="F34" s="9" t="s">
        <v>298</v>
      </c>
      <c r="G34" s="9" t="s">
        <v>299</v>
      </c>
      <c r="H34" s="9" t="s">
        <v>51</v>
      </c>
      <c r="I34" s="5" t="s">
        <v>57</v>
      </c>
      <c r="J34" s="9" t="n">
        <v>1</v>
      </c>
      <c r="K34" s="9" t="s">
        <v>114</v>
      </c>
      <c r="L34" s="9"/>
      <c r="M34" s="9"/>
      <c r="N34" s="9"/>
      <c r="O34" s="9"/>
      <c r="P34" s="9"/>
      <c r="Q34" s="9" t="s">
        <v>63</v>
      </c>
      <c r="R34" s="9" t="n">
        <v>4</v>
      </c>
      <c r="S34" s="5" t="s">
        <v>300</v>
      </c>
    </row>
    <row r="35" customFormat="false" ht="15" hidden="false" customHeight="false" outlineLevel="0" collapsed="false">
      <c r="A35" s="9" t="s">
        <v>301</v>
      </c>
      <c r="B35" s="5" t="s">
        <v>302</v>
      </c>
      <c r="C35" s="9" t="s">
        <v>303</v>
      </c>
      <c r="D35" s="9" t="s">
        <v>156</v>
      </c>
      <c r="E35" s="10" t="s">
        <v>304</v>
      </c>
      <c r="F35" s="9" t="s">
        <v>219</v>
      </c>
      <c r="G35" s="9" t="s">
        <v>93</v>
      </c>
      <c r="H35" s="9" t="s">
        <v>44</v>
      </c>
      <c r="I35" s="5" t="s">
        <v>305</v>
      </c>
      <c r="J35" s="9" t="n">
        <v>2</v>
      </c>
      <c r="K35" s="9" t="s">
        <v>306</v>
      </c>
      <c r="L35" s="9" t="s">
        <v>307</v>
      </c>
      <c r="M35" s="9" t="s">
        <v>308</v>
      </c>
      <c r="N35" s="9"/>
      <c r="O35" s="9" t="s">
        <v>309</v>
      </c>
      <c r="P35" s="9" t="s">
        <v>310</v>
      </c>
      <c r="Q35" s="9" t="s">
        <v>62</v>
      </c>
      <c r="R35" s="9" t="n">
        <v>7</v>
      </c>
      <c r="S35" s="5" t="s">
        <v>311</v>
      </c>
    </row>
    <row r="36" customFormat="false" ht="15" hidden="false" customHeight="false" outlineLevel="0" collapsed="false">
      <c r="A36" s="9" t="s">
        <v>312</v>
      </c>
      <c r="B36" s="5" t="s">
        <v>313</v>
      </c>
      <c r="C36" s="9" t="s">
        <v>314</v>
      </c>
      <c r="D36" s="9" t="s">
        <v>156</v>
      </c>
      <c r="E36" s="9"/>
      <c r="F36" s="9"/>
      <c r="G36" s="9" t="s">
        <v>93</v>
      </c>
      <c r="H36" s="9" t="s">
        <v>45</v>
      </c>
      <c r="I36" s="5" t="s">
        <v>54</v>
      </c>
      <c r="J36" s="9" t="n">
        <v>1</v>
      </c>
      <c r="K36" s="9" t="s">
        <v>255</v>
      </c>
      <c r="L36" s="9" t="s">
        <v>315</v>
      </c>
      <c r="M36" s="9" t="s">
        <v>316</v>
      </c>
      <c r="N36" s="9"/>
      <c r="O36" s="9"/>
      <c r="P36" s="9"/>
      <c r="Q36" s="9" t="s">
        <v>63</v>
      </c>
      <c r="R36" s="9" t="n">
        <v>3</v>
      </c>
      <c r="S36" s="5" t="s">
        <v>317</v>
      </c>
    </row>
    <row r="37" customFormat="false" ht="15" hidden="false" customHeight="false" outlineLevel="0" collapsed="false">
      <c r="A37" s="9" t="s">
        <v>318</v>
      </c>
      <c r="B37" s="5" t="s">
        <v>319</v>
      </c>
      <c r="C37" s="9"/>
      <c r="D37" s="9" t="s">
        <v>92</v>
      </c>
      <c r="E37" s="9"/>
      <c r="F37" s="9" t="s">
        <v>320</v>
      </c>
      <c r="G37" s="9" t="s">
        <v>93</v>
      </c>
      <c r="H37" s="9" t="s">
        <v>48</v>
      </c>
      <c r="I37" s="5" t="s">
        <v>56</v>
      </c>
      <c r="J37" s="9" t="n">
        <v>1</v>
      </c>
      <c r="K37" s="9" t="s">
        <v>321</v>
      </c>
      <c r="L37" s="9"/>
      <c r="M37" s="9"/>
      <c r="N37" s="9"/>
      <c r="O37" s="9"/>
      <c r="P37" s="9"/>
      <c r="Q37" s="9" t="s">
        <v>64</v>
      </c>
      <c r="R37" s="9" t="n">
        <v>3</v>
      </c>
      <c r="S37" s="5" t="s">
        <v>322</v>
      </c>
    </row>
    <row r="38" customFormat="false" ht="15" hidden="false" customHeight="false" outlineLevel="0" collapsed="false">
      <c r="A38" s="9" t="s">
        <v>323</v>
      </c>
      <c r="B38" s="5" t="s">
        <v>324</v>
      </c>
      <c r="C38" s="9" t="s">
        <v>325</v>
      </c>
      <c r="D38" s="9" t="s">
        <v>92</v>
      </c>
      <c r="E38" s="10" t="s">
        <v>326</v>
      </c>
      <c r="F38" s="9" t="s">
        <v>191</v>
      </c>
      <c r="G38" s="9" t="s">
        <v>121</v>
      </c>
      <c r="H38" s="9" t="s">
        <v>51</v>
      </c>
      <c r="I38" s="5" t="s">
        <v>53</v>
      </c>
      <c r="J38" s="9" t="n">
        <v>1</v>
      </c>
      <c r="K38" s="9" t="s">
        <v>327</v>
      </c>
      <c r="L38" s="9" t="s">
        <v>328</v>
      </c>
      <c r="M38" s="9"/>
      <c r="N38" s="9"/>
      <c r="O38" s="9"/>
      <c r="P38" s="9"/>
      <c r="Q38" s="9" t="s">
        <v>63</v>
      </c>
      <c r="R38" s="9" t="n">
        <v>1</v>
      </c>
      <c r="S38" s="9" t="s">
        <v>329</v>
      </c>
    </row>
    <row r="39" customFormat="false" ht="15" hidden="false" customHeight="false" outlineLevel="0" collapsed="false">
      <c r="A39" s="9" t="s">
        <v>330</v>
      </c>
      <c r="B39" s="5" t="s">
        <v>331</v>
      </c>
      <c r="C39" s="9" t="s">
        <v>331</v>
      </c>
      <c r="D39" s="9" t="s">
        <v>92</v>
      </c>
      <c r="E39" s="9"/>
      <c r="F39" s="9" t="s">
        <v>332</v>
      </c>
      <c r="G39" s="9" t="s">
        <v>93</v>
      </c>
      <c r="H39" s="9" t="s">
        <v>333</v>
      </c>
      <c r="I39" s="5" t="s">
        <v>334</v>
      </c>
      <c r="J39" s="9" t="n">
        <v>2</v>
      </c>
      <c r="K39" s="9" t="s">
        <v>114</v>
      </c>
      <c r="L39" s="9" t="s">
        <v>335</v>
      </c>
      <c r="M39" s="9"/>
      <c r="N39" s="9"/>
      <c r="O39" s="9"/>
      <c r="P39" s="9"/>
      <c r="Q39" s="9" t="s">
        <v>63</v>
      </c>
      <c r="R39" s="9" t="n">
        <v>6</v>
      </c>
      <c r="S39" s="5" t="s">
        <v>336</v>
      </c>
    </row>
    <row r="40" customFormat="false" ht="15" hidden="false" customHeight="false" outlineLevel="0" collapsed="false">
      <c r="A40" s="9" t="s">
        <v>337</v>
      </c>
      <c r="B40" s="5" t="s">
        <v>338</v>
      </c>
      <c r="C40" s="9" t="s">
        <v>339</v>
      </c>
      <c r="D40" s="9" t="s">
        <v>92</v>
      </c>
      <c r="E40" s="10" t="s">
        <v>340</v>
      </c>
      <c r="F40" s="9" t="s">
        <v>341</v>
      </c>
      <c r="G40" s="9" t="s">
        <v>93</v>
      </c>
      <c r="H40" s="9" t="s">
        <v>44</v>
      </c>
      <c r="I40" s="5" t="s">
        <v>59</v>
      </c>
      <c r="J40" s="9" t="n">
        <v>1</v>
      </c>
      <c r="K40" s="9" t="s">
        <v>100</v>
      </c>
      <c r="L40" s="9" t="s">
        <v>342</v>
      </c>
      <c r="M40" s="9"/>
      <c r="N40" s="9"/>
      <c r="O40" s="9"/>
      <c r="P40" s="9"/>
      <c r="Q40" s="9" t="s">
        <v>63</v>
      </c>
      <c r="R40" s="9" t="n">
        <v>5</v>
      </c>
      <c r="S40" s="5" t="s">
        <v>343</v>
      </c>
    </row>
    <row r="41" customFormat="false" ht="15" hidden="false" customHeight="false" outlineLevel="0" collapsed="false">
      <c r="A41" s="9" t="s">
        <v>344</v>
      </c>
      <c r="B41" s="5" t="s">
        <v>345</v>
      </c>
      <c r="C41" s="9" t="s">
        <v>346</v>
      </c>
      <c r="D41" s="9" t="s">
        <v>92</v>
      </c>
      <c r="E41" s="9"/>
      <c r="F41" s="9" t="s">
        <v>347</v>
      </c>
      <c r="G41" s="9" t="s">
        <v>347</v>
      </c>
      <c r="H41" s="9" t="s">
        <v>51</v>
      </c>
      <c r="I41" s="5" t="s">
        <v>53</v>
      </c>
      <c r="J41" s="9" t="n">
        <v>1</v>
      </c>
      <c r="K41" s="9" t="s">
        <v>348</v>
      </c>
      <c r="L41" s="9"/>
      <c r="M41" s="9"/>
      <c r="N41" s="9"/>
      <c r="O41" s="9"/>
      <c r="P41" s="9" t="s">
        <v>349</v>
      </c>
      <c r="Q41" s="9" t="s">
        <v>64</v>
      </c>
      <c r="R41" s="9" t="n">
        <v>1</v>
      </c>
      <c r="S41" s="9" t="s">
        <v>350</v>
      </c>
    </row>
    <row r="42" customFormat="false" ht="15" hidden="false" customHeight="false" outlineLevel="0" collapsed="false">
      <c r="A42" s="9" t="s">
        <v>351</v>
      </c>
      <c r="B42" s="5" t="s">
        <v>352</v>
      </c>
      <c r="C42" s="9" t="s">
        <v>353</v>
      </c>
      <c r="D42" s="9" t="s">
        <v>92</v>
      </c>
      <c r="E42" s="10" t="s">
        <v>354</v>
      </c>
      <c r="F42" s="9" t="s">
        <v>355</v>
      </c>
      <c r="G42" s="9" t="s">
        <v>121</v>
      </c>
      <c r="H42" s="9" t="s">
        <v>51</v>
      </c>
      <c r="I42" s="5" t="s">
        <v>53</v>
      </c>
      <c r="J42" s="9" t="n">
        <v>1</v>
      </c>
      <c r="K42" s="9" t="s">
        <v>114</v>
      </c>
      <c r="L42" s="9" t="s">
        <v>356</v>
      </c>
      <c r="M42" s="9"/>
      <c r="N42" s="9"/>
      <c r="O42" s="9"/>
      <c r="P42" s="9" t="s">
        <v>238</v>
      </c>
      <c r="Q42" s="9" t="s">
        <v>62</v>
      </c>
      <c r="R42" s="9" t="n">
        <v>3</v>
      </c>
      <c r="S42" s="5" t="s">
        <v>357</v>
      </c>
    </row>
    <row r="43" customFormat="false" ht="15" hidden="false" customHeight="false" outlineLevel="0" collapsed="false">
      <c r="A43" s="9" t="s">
        <v>358</v>
      </c>
      <c r="B43" s="5" t="s">
        <v>359</v>
      </c>
      <c r="C43" s="9" t="s">
        <v>360</v>
      </c>
      <c r="D43" s="9" t="s">
        <v>92</v>
      </c>
      <c r="E43" s="9"/>
      <c r="F43" s="9"/>
      <c r="G43" s="9" t="s">
        <v>93</v>
      </c>
      <c r="H43" s="9" t="s">
        <v>44</v>
      </c>
      <c r="I43" s="5" t="s">
        <v>56</v>
      </c>
      <c r="J43" s="9" t="n">
        <v>1</v>
      </c>
      <c r="K43" s="9" t="s">
        <v>114</v>
      </c>
      <c r="L43" s="9"/>
      <c r="M43" s="9"/>
      <c r="N43" s="9"/>
      <c r="O43" s="9"/>
      <c r="P43" s="9"/>
      <c r="Q43" s="9" t="s">
        <v>64</v>
      </c>
      <c r="R43" s="9" t="n">
        <v>1</v>
      </c>
      <c r="S43" s="9" t="s">
        <v>361</v>
      </c>
    </row>
    <row r="44" customFormat="false" ht="23.85" hidden="false" customHeight="false" outlineLevel="0" collapsed="false">
      <c r="A44" s="9" t="s">
        <v>362</v>
      </c>
      <c r="B44" s="5" t="s">
        <v>363</v>
      </c>
      <c r="C44" s="9" t="s">
        <v>364</v>
      </c>
      <c r="D44" s="9" t="s">
        <v>156</v>
      </c>
      <c r="E44" s="10" t="s">
        <v>365</v>
      </c>
      <c r="F44" s="9"/>
      <c r="G44" s="9" t="s">
        <v>93</v>
      </c>
      <c r="H44" s="9" t="s">
        <v>48</v>
      </c>
      <c r="I44" s="5" t="s">
        <v>55</v>
      </c>
      <c r="J44" s="9" t="n">
        <v>1</v>
      </c>
      <c r="K44" s="9" t="s">
        <v>114</v>
      </c>
      <c r="L44" s="9" t="s">
        <v>366</v>
      </c>
      <c r="M44" s="9"/>
      <c r="N44" s="9"/>
      <c r="O44" s="9"/>
      <c r="P44" s="9"/>
      <c r="Q44" s="9" t="s">
        <v>63</v>
      </c>
      <c r="R44" s="9" t="n">
        <v>3</v>
      </c>
      <c r="S44" s="5" t="s">
        <v>367</v>
      </c>
    </row>
    <row r="45" customFormat="false" ht="15" hidden="false" customHeight="false" outlineLevel="0" collapsed="false">
      <c r="A45" s="9" t="s">
        <v>368</v>
      </c>
      <c r="B45" s="5" t="s">
        <v>369</v>
      </c>
      <c r="C45" s="9"/>
      <c r="D45" s="9" t="s">
        <v>156</v>
      </c>
      <c r="E45" s="10" t="s">
        <v>370</v>
      </c>
      <c r="F45" s="9" t="s">
        <v>371</v>
      </c>
      <c r="G45" s="9" t="s">
        <v>93</v>
      </c>
      <c r="H45" s="9" t="s">
        <v>44</v>
      </c>
      <c r="I45" s="5" t="s">
        <v>53</v>
      </c>
      <c r="J45" s="9" t="n">
        <v>1</v>
      </c>
      <c r="K45" s="9" t="s">
        <v>372</v>
      </c>
      <c r="L45" s="9" t="s">
        <v>373</v>
      </c>
      <c r="M45" s="9"/>
      <c r="N45" s="9"/>
      <c r="O45" s="9"/>
      <c r="P45" s="9"/>
      <c r="Q45" s="9" t="s">
        <v>64</v>
      </c>
      <c r="R45" s="9" t="n">
        <v>3</v>
      </c>
      <c r="S45" s="5" t="s">
        <v>374</v>
      </c>
    </row>
    <row r="46" customFormat="false" ht="15" hidden="false" customHeight="false" outlineLevel="0" collapsed="false">
      <c r="A46" s="9" t="s">
        <v>375</v>
      </c>
      <c r="B46" s="5" t="s">
        <v>376</v>
      </c>
      <c r="C46" s="9" t="s">
        <v>377</v>
      </c>
      <c r="D46" s="9" t="s">
        <v>156</v>
      </c>
      <c r="E46" s="10" t="s">
        <v>378</v>
      </c>
      <c r="F46" s="9"/>
      <c r="G46" s="9" t="s">
        <v>93</v>
      </c>
      <c r="H46" s="9" t="s">
        <v>50</v>
      </c>
      <c r="I46" s="5" t="s">
        <v>58</v>
      </c>
      <c r="J46" s="9" t="n">
        <v>1</v>
      </c>
      <c r="K46" s="9" t="s">
        <v>114</v>
      </c>
      <c r="L46" s="9" t="s">
        <v>379</v>
      </c>
      <c r="M46" s="9"/>
      <c r="N46" s="9"/>
      <c r="O46" s="9" t="s">
        <v>380</v>
      </c>
      <c r="P46" s="9"/>
      <c r="Q46" s="9" t="s">
        <v>63</v>
      </c>
      <c r="R46" s="9" t="n">
        <v>2</v>
      </c>
      <c r="S46" s="5" t="s">
        <v>381</v>
      </c>
    </row>
    <row r="47" customFormat="false" ht="15" hidden="false" customHeight="false" outlineLevel="0" collapsed="false">
      <c r="A47" s="9" t="s">
        <v>382</v>
      </c>
      <c r="B47" s="5" t="s">
        <v>383</v>
      </c>
      <c r="C47" s="9" t="s">
        <v>384</v>
      </c>
      <c r="D47" s="9" t="s">
        <v>156</v>
      </c>
      <c r="E47" s="10" t="s">
        <v>385</v>
      </c>
      <c r="F47" s="9" t="s">
        <v>386</v>
      </c>
      <c r="G47" s="9" t="s">
        <v>387</v>
      </c>
      <c r="H47" s="9" t="s">
        <v>51</v>
      </c>
      <c r="I47" s="5" t="s">
        <v>57</v>
      </c>
      <c r="J47" s="9" t="n">
        <v>1</v>
      </c>
      <c r="K47" s="9" t="s">
        <v>114</v>
      </c>
      <c r="L47" s="9" t="s">
        <v>388</v>
      </c>
      <c r="M47" s="9"/>
      <c r="N47" s="9" t="s">
        <v>389</v>
      </c>
      <c r="O47" s="9"/>
      <c r="P47" s="9"/>
      <c r="Q47" s="9" t="s">
        <v>63</v>
      </c>
      <c r="R47" s="9" t="n">
        <v>4</v>
      </c>
      <c r="S47" s="5" t="s">
        <v>390</v>
      </c>
    </row>
    <row r="48" customFormat="false" ht="15" hidden="false" customHeight="false" outlineLevel="0" collapsed="false">
      <c r="A48" s="9" t="s">
        <v>391</v>
      </c>
      <c r="B48" s="5" t="s">
        <v>392</v>
      </c>
      <c r="C48" s="9" t="s">
        <v>393</v>
      </c>
      <c r="D48" s="9" t="s">
        <v>92</v>
      </c>
      <c r="E48" s="10" t="s">
        <v>394</v>
      </c>
      <c r="F48" s="9" t="s">
        <v>395</v>
      </c>
      <c r="G48" s="9" t="s">
        <v>121</v>
      </c>
      <c r="H48" s="9" t="s">
        <v>51</v>
      </c>
      <c r="I48" s="5" t="s">
        <v>53</v>
      </c>
      <c r="J48" s="9" t="n">
        <v>1</v>
      </c>
      <c r="K48" s="9" t="s">
        <v>396</v>
      </c>
      <c r="L48" s="9"/>
      <c r="M48" s="9"/>
      <c r="N48" s="9"/>
      <c r="O48" s="9"/>
      <c r="P48" s="9"/>
      <c r="Q48" s="9" t="s">
        <v>64</v>
      </c>
      <c r="R48" s="9" t="n">
        <v>2</v>
      </c>
      <c r="S48" s="5" t="s">
        <v>397</v>
      </c>
    </row>
    <row r="49" customFormat="false" ht="15" hidden="false" customHeight="false" outlineLevel="0" collapsed="false">
      <c r="A49" s="9" t="s">
        <v>398</v>
      </c>
      <c r="B49" s="5" t="s">
        <v>399</v>
      </c>
      <c r="C49" s="9" t="s">
        <v>400</v>
      </c>
      <c r="D49" s="9" t="s">
        <v>156</v>
      </c>
      <c r="E49" s="10" t="s">
        <v>401</v>
      </c>
      <c r="F49" s="9" t="s">
        <v>402</v>
      </c>
      <c r="G49" s="9" t="s">
        <v>93</v>
      </c>
      <c r="H49" s="9" t="s">
        <v>50</v>
      </c>
      <c r="I49" s="5" t="s">
        <v>334</v>
      </c>
      <c r="J49" s="9" t="n">
        <v>2</v>
      </c>
      <c r="K49" s="9" t="s">
        <v>114</v>
      </c>
      <c r="L49" s="9" t="s">
        <v>403</v>
      </c>
      <c r="M49" s="9"/>
      <c r="N49" s="9"/>
      <c r="O49" s="9"/>
      <c r="P49" s="9"/>
      <c r="Q49" s="9" t="s">
        <v>63</v>
      </c>
      <c r="R49" s="9" t="n">
        <v>20</v>
      </c>
      <c r="S49" s="5" t="s">
        <v>404</v>
      </c>
    </row>
    <row r="50" customFormat="false" ht="15" hidden="false" customHeight="false" outlineLevel="0" collapsed="false">
      <c r="A50" s="9" t="s">
        <v>405</v>
      </c>
      <c r="B50" s="5" t="s">
        <v>406</v>
      </c>
      <c r="C50" s="9" t="s">
        <v>407</v>
      </c>
      <c r="D50" s="9" t="s">
        <v>92</v>
      </c>
      <c r="E50" s="10" t="s">
        <v>408</v>
      </c>
      <c r="F50" s="9"/>
      <c r="G50" s="9" t="s">
        <v>93</v>
      </c>
      <c r="H50" s="9" t="s">
        <v>46</v>
      </c>
      <c r="I50" s="5" t="s">
        <v>56</v>
      </c>
      <c r="J50" s="9" t="n">
        <v>1</v>
      </c>
      <c r="K50" s="9" t="s">
        <v>409</v>
      </c>
      <c r="L50" s="9"/>
      <c r="M50" s="9"/>
      <c r="N50" s="9"/>
      <c r="O50" s="9"/>
      <c r="P50" s="9"/>
      <c r="Q50" s="9" t="s">
        <v>64</v>
      </c>
      <c r="R50" s="9" t="n">
        <v>5</v>
      </c>
      <c r="S50" s="5" t="s">
        <v>410</v>
      </c>
    </row>
    <row r="51" customFormat="false" ht="15" hidden="false" customHeight="false" outlineLevel="0" collapsed="false">
      <c r="A51" s="9" t="s">
        <v>411</v>
      </c>
      <c r="B51" s="5" t="s">
        <v>412</v>
      </c>
      <c r="C51" s="9" t="s">
        <v>413</v>
      </c>
      <c r="D51" s="9" t="s">
        <v>92</v>
      </c>
      <c r="E51" s="9"/>
      <c r="F51" s="9" t="s">
        <v>414</v>
      </c>
      <c r="G51" s="9" t="s">
        <v>93</v>
      </c>
      <c r="H51" s="9" t="s">
        <v>44</v>
      </c>
      <c r="I51" s="5" t="s">
        <v>56</v>
      </c>
      <c r="J51" s="9" t="n">
        <v>1</v>
      </c>
      <c r="K51" s="9" t="s">
        <v>94</v>
      </c>
      <c r="L51" s="9"/>
      <c r="M51" s="9"/>
      <c r="N51" s="9"/>
      <c r="O51" s="9"/>
      <c r="P51" s="9"/>
      <c r="Q51" s="9" t="s">
        <v>64</v>
      </c>
      <c r="R51" s="9" t="n">
        <v>1</v>
      </c>
      <c r="S51" s="9" t="s">
        <v>415</v>
      </c>
    </row>
    <row r="52" customFormat="false" ht="15" hidden="false" customHeight="false" outlineLevel="0" collapsed="false">
      <c r="A52" s="9" t="s">
        <v>416</v>
      </c>
      <c r="B52" s="5" t="s">
        <v>417</v>
      </c>
      <c r="C52" s="9" t="s">
        <v>418</v>
      </c>
      <c r="D52" s="9" t="s">
        <v>92</v>
      </c>
      <c r="E52" s="10" t="s">
        <v>419</v>
      </c>
      <c r="F52" s="9" t="s">
        <v>420</v>
      </c>
      <c r="G52" s="9" t="s">
        <v>420</v>
      </c>
      <c r="H52" s="9" t="s">
        <v>51</v>
      </c>
      <c r="I52" s="5" t="s">
        <v>53</v>
      </c>
      <c r="J52" s="9" t="n">
        <v>1</v>
      </c>
      <c r="K52" s="9" t="s">
        <v>106</v>
      </c>
      <c r="L52" s="9"/>
      <c r="M52" s="9"/>
      <c r="N52" s="9"/>
      <c r="O52" s="9"/>
      <c r="P52" s="9"/>
      <c r="Q52" s="9" t="s">
        <v>64</v>
      </c>
      <c r="R52" s="9" t="n">
        <v>1</v>
      </c>
      <c r="S52" s="9" t="s">
        <v>421</v>
      </c>
    </row>
    <row r="53" customFormat="false" ht="23.85" hidden="false" customHeight="false" outlineLevel="0" collapsed="false">
      <c r="A53" s="9" t="s">
        <v>422</v>
      </c>
      <c r="B53" s="5" t="s">
        <v>423</v>
      </c>
      <c r="C53" s="9" t="s">
        <v>424</v>
      </c>
      <c r="D53" s="9" t="s">
        <v>92</v>
      </c>
      <c r="E53" s="10" t="s">
        <v>425</v>
      </c>
      <c r="F53" s="9" t="s">
        <v>426</v>
      </c>
      <c r="G53" s="9" t="s">
        <v>93</v>
      </c>
      <c r="H53" s="9" t="s">
        <v>50</v>
      </c>
      <c r="I53" s="5" t="s">
        <v>54</v>
      </c>
      <c r="J53" s="9" t="n">
        <v>1</v>
      </c>
      <c r="K53" s="9" t="s">
        <v>427</v>
      </c>
      <c r="L53" s="9" t="s">
        <v>428</v>
      </c>
      <c r="M53" s="9" t="s">
        <v>429</v>
      </c>
      <c r="N53" s="9"/>
      <c r="O53" s="9"/>
      <c r="P53" s="9"/>
      <c r="Q53" s="9" t="s">
        <v>63</v>
      </c>
      <c r="R53" s="9" t="n">
        <v>5</v>
      </c>
      <c r="S53" s="5" t="s">
        <v>430</v>
      </c>
    </row>
    <row r="54" customFormat="false" ht="23.85" hidden="false" customHeight="false" outlineLevel="0" collapsed="false">
      <c r="A54" s="9" t="s">
        <v>431</v>
      </c>
      <c r="B54" s="5" t="s">
        <v>432</v>
      </c>
      <c r="C54" s="9" t="s">
        <v>433</v>
      </c>
      <c r="D54" s="9" t="s">
        <v>92</v>
      </c>
      <c r="E54" s="10" t="s">
        <v>434</v>
      </c>
      <c r="F54" s="9" t="s">
        <v>426</v>
      </c>
      <c r="G54" s="9" t="s">
        <v>93</v>
      </c>
      <c r="H54" s="9" t="s">
        <v>50</v>
      </c>
      <c r="I54" s="5" t="s">
        <v>54</v>
      </c>
      <c r="J54" s="9" t="n">
        <v>1</v>
      </c>
      <c r="K54" s="9" t="s">
        <v>427</v>
      </c>
      <c r="L54" s="9" t="s">
        <v>435</v>
      </c>
      <c r="M54" s="9"/>
      <c r="N54" s="9"/>
      <c r="O54" s="9"/>
      <c r="P54" s="9"/>
      <c r="Q54" s="9" t="s">
        <v>64</v>
      </c>
      <c r="R54" s="9" t="n">
        <v>4</v>
      </c>
      <c r="S54" s="5" t="s">
        <v>436</v>
      </c>
    </row>
    <row r="55" customFormat="false" ht="15" hidden="false" customHeight="false" outlineLevel="0" collapsed="false">
      <c r="A55" s="9" t="s">
        <v>437</v>
      </c>
      <c r="B55" s="5" t="s">
        <v>438</v>
      </c>
      <c r="C55" s="9"/>
      <c r="D55" s="9" t="s">
        <v>156</v>
      </c>
      <c r="E55" s="10" t="s">
        <v>439</v>
      </c>
      <c r="F55" s="9"/>
      <c r="G55" s="9" t="s">
        <v>93</v>
      </c>
      <c r="H55" s="9" t="s">
        <v>46</v>
      </c>
      <c r="I55" s="5" t="s">
        <v>56</v>
      </c>
      <c r="J55" s="9" t="n">
        <v>1</v>
      </c>
      <c r="K55" s="9" t="s">
        <v>440</v>
      </c>
      <c r="L55" s="9"/>
      <c r="M55" s="9"/>
      <c r="N55" s="9"/>
      <c r="O55" s="9"/>
      <c r="P55" s="9"/>
      <c r="Q55" s="9" t="s">
        <v>64</v>
      </c>
      <c r="R55" s="9" t="n">
        <v>3</v>
      </c>
      <c r="S55" s="5" t="s">
        <v>441</v>
      </c>
    </row>
    <row r="56" customFormat="false" ht="15" hidden="false" customHeight="false" outlineLevel="0" collapsed="false">
      <c r="A56" s="9" t="s">
        <v>442</v>
      </c>
      <c r="B56" s="5" t="s">
        <v>443</v>
      </c>
      <c r="C56" s="9" t="s">
        <v>444</v>
      </c>
      <c r="D56" s="9" t="s">
        <v>92</v>
      </c>
      <c r="E56" s="10" t="s">
        <v>445</v>
      </c>
      <c r="F56" s="9" t="s">
        <v>177</v>
      </c>
      <c r="G56" s="9" t="s">
        <v>150</v>
      </c>
      <c r="H56" s="9" t="s">
        <v>51</v>
      </c>
      <c r="I56" s="5" t="s">
        <v>53</v>
      </c>
      <c r="J56" s="9" t="n">
        <v>1</v>
      </c>
      <c r="K56" s="9" t="s">
        <v>106</v>
      </c>
      <c r="L56" s="9"/>
      <c r="M56" s="9"/>
      <c r="N56" s="9"/>
      <c r="O56" s="9"/>
      <c r="P56" s="9"/>
      <c r="Q56" s="9" t="s">
        <v>63</v>
      </c>
      <c r="R56" s="9" t="n">
        <v>1</v>
      </c>
      <c r="S56" s="9" t="s">
        <v>446</v>
      </c>
    </row>
    <row r="57" customFormat="false" ht="15" hidden="false" customHeight="false" outlineLevel="0" collapsed="false">
      <c r="A57" s="9" t="s">
        <v>447</v>
      </c>
      <c r="B57" s="5" t="s">
        <v>448</v>
      </c>
      <c r="C57" s="9" t="s">
        <v>449</v>
      </c>
      <c r="D57" s="9" t="s">
        <v>92</v>
      </c>
      <c r="E57" s="9"/>
      <c r="F57" s="9"/>
      <c r="G57" s="9"/>
      <c r="H57" s="9" t="s">
        <v>51</v>
      </c>
      <c r="I57" s="5" t="s">
        <v>57</v>
      </c>
      <c r="J57" s="9" t="n">
        <v>1</v>
      </c>
      <c r="K57" s="9" t="s">
        <v>450</v>
      </c>
      <c r="L57" s="9"/>
      <c r="M57" s="9"/>
      <c r="N57" s="9"/>
      <c r="O57" s="9"/>
      <c r="P57" s="9"/>
      <c r="Q57" s="9" t="s">
        <v>64</v>
      </c>
      <c r="R57" s="9" t="n">
        <v>3</v>
      </c>
      <c r="S57" s="5" t="s">
        <v>451</v>
      </c>
    </row>
    <row r="58" customFormat="false" ht="15" hidden="false" customHeight="false" outlineLevel="0" collapsed="false">
      <c r="A58" s="9" t="s">
        <v>452</v>
      </c>
      <c r="B58" s="5" t="s">
        <v>453</v>
      </c>
      <c r="C58" s="9" t="s">
        <v>453</v>
      </c>
      <c r="D58" s="9" t="s">
        <v>92</v>
      </c>
      <c r="E58" s="10" t="s">
        <v>454</v>
      </c>
      <c r="F58" s="9" t="s">
        <v>113</v>
      </c>
      <c r="G58" s="9" t="s">
        <v>93</v>
      </c>
      <c r="H58" s="9" t="s">
        <v>50</v>
      </c>
      <c r="I58" s="5" t="s">
        <v>56</v>
      </c>
      <c r="J58" s="9" t="n">
        <v>1</v>
      </c>
      <c r="K58" s="9" t="s">
        <v>455</v>
      </c>
      <c r="L58" s="9" t="s">
        <v>151</v>
      </c>
      <c r="M58" s="9"/>
      <c r="N58" s="9"/>
      <c r="O58" s="9"/>
      <c r="P58" s="9"/>
      <c r="Q58" s="9" t="s">
        <v>64</v>
      </c>
      <c r="R58" s="9" t="n">
        <v>1</v>
      </c>
      <c r="S58" s="9" t="s">
        <v>456</v>
      </c>
    </row>
    <row r="59" customFormat="false" ht="15" hidden="false" customHeight="false" outlineLevel="0" collapsed="false">
      <c r="A59" s="9" t="s">
        <v>457</v>
      </c>
      <c r="B59" s="5" t="s">
        <v>458</v>
      </c>
      <c r="C59" s="9" t="s">
        <v>459</v>
      </c>
      <c r="D59" s="9" t="s">
        <v>92</v>
      </c>
      <c r="E59" s="10" t="s">
        <v>460</v>
      </c>
      <c r="F59" s="9" t="s">
        <v>461</v>
      </c>
      <c r="G59" s="9" t="s">
        <v>93</v>
      </c>
      <c r="H59" s="9" t="s">
        <v>50</v>
      </c>
      <c r="I59" s="5" t="s">
        <v>53</v>
      </c>
      <c r="J59" s="9" t="n">
        <v>1</v>
      </c>
      <c r="K59" s="9" t="s">
        <v>462</v>
      </c>
      <c r="L59" s="9"/>
      <c r="M59" s="9"/>
      <c r="N59" s="9"/>
      <c r="O59" s="9"/>
      <c r="P59" s="9"/>
      <c r="Q59" s="9" t="s">
        <v>64</v>
      </c>
      <c r="R59" s="9" t="n">
        <v>1</v>
      </c>
      <c r="S59" s="9" t="s">
        <v>463</v>
      </c>
    </row>
    <row r="60" customFormat="false" ht="15" hidden="false" customHeight="false" outlineLevel="0" collapsed="false">
      <c r="A60" s="9" t="s">
        <v>464</v>
      </c>
      <c r="B60" s="5" t="s">
        <v>465</v>
      </c>
      <c r="C60" s="9" t="s">
        <v>466</v>
      </c>
      <c r="D60" s="9" t="s">
        <v>156</v>
      </c>
      <c r="E60" s="9"/>
      <c r="F60" s="9" t="s">
        <v>467</v>
      </c>
      <c r="G60" s="9" t="s">
        <v>93</v>
      </c>
      <c r="H60" s="9" t="s">
        <v>45</v>
      </c>
      <c r="I60" s="5" t="s">
        <v>56</v>
      </c>
      <c r="J60" s="9" t="n">
        <v>1</v>
      </c>
      <c r="K60" s="9" t="s">
        <v>468</v>
      </c>
      <c r="L60" s="9" t="s">
        <v>469</v>
      </c>
      <c r="M60" s="9"/>
      <c r="N60" s="9"/>
      <c r="O60" s="9"/>
      <c r="P60" s="9"/>
      <c r="Q60" s="9" t="s">
        <v>63</v>
      </c>
      <c r="R60" s="9" t="n">
        <v>5</v>
      </c>
      <c r="S60" s="5" t="s">
        <v>470</v>
      </c>
    </row>
    <row r="61" customFormat="false" ht="15" hidden="false" customHeight="false" outlineLevel="0" collapsed="false">
      <c r="A61" s="9" t="s">
        <v>471</v>
      </c>
      <c r="B61" s="5" t="s">
        <v>360</v>
      </c>
      <c r="C61" s="9" t="s">
        <v>360</v>
      </c>
      <c r="D61" s="9" t="s">
        <v>92</v>
      </c>
      <c r="E61" s="10" t="s">
        <v>472</v>
      </c>
      <c r="F61" s="9"/>
      <c r="G61" s="9"/>
      <c r="H61" s="9" t="s">
        <v>51</v>
      </c>
      <c r="I61" s="5" t="s">
        <v>56</v>
      </c>
      <c r="J61" s="9" t="n">
        <v>1</v>
      </c>
      <c r="K61" s="9" t="s">
        <v>114</v>
      </c>
      <c r="L61" s="9"/>
      <c r="M61" s="9"/>
      <c r="N61" s="9"/>
      <c r="O61" s="9"/>
      <c r="P61" s="9"/>
      <c r="Q61" s="9" t="s">
        <v>63</v>
      </c>
      <c r="R61" s="9" t="n">
        <v>1</v>
      </c>
      <c r="S61" s="9" t="s">
        <v>473</v>
      </c>
    </row>
    <row r="62" customFormat="false" ht="15" hidden="false" customHeight="false" outlineLevel="0" collapsed="false">
      <c r="A62" s="9" t="s">
        <v>474</v>
      </c>
      <c r="B62" s="5" t="s">
        <v>475</v>
      </c>
      <c r="C62" s="9" t="s">
        <v>476</v>
      </c>
      <c r="D62" s="9" t="s">
        <v>156</v>
      </c>
      <c r="E62" s="10" t="s">
        <v>477</v>
      </c>
      <c r="F62" s="9"/>
      <c r="G62" s="9" t="s">
        <v>93</v>
      </c>
      <c r="H62" s="9" t="s">
        <v>45</v>
      </c>
      <c r="I62" s="5" t="s">
        <v>58</v>
      </c>
      <c r="J62" s="9" t="n">
        <v>1</v>
      </c>
      <c r="K62" s="9" t="s">
        <v>114</v>
      </c>
      <c r="L62" s="9" t="s">
        <v>478</v>
      </c>
      <c r="M62" s="9"/>
      <c r="N62" s="9"/>
      <c r="O62" s="9"/>
      <c r="P62" s="9"/>
      <c r="Q62" s="9" t="s">
        <v>63</v>
      </c>
      <c r="R62" s="9" t="n">
        <v>3</v>
      </c>
      <c r="S62" s="5" t="s">
        <v>479</v>
      </c>
    </row>
    <row r="63" customFormat="false" ht="15" hidden="false" customHeight="false" outlineLevel="0" collapsed="false">
      <c r="A63" s="9" t="s">
        <v>480</v>
      </c>
      <c r="B63" s="5" t="s">
        <v>481</v>
      </c>
      <c r="C63" s="9"/>
      <c r="D63" s="9" t="s">
        <v>92</v>
      </c>
      <c r="E63" s="9"/>
      <c r="F63" s="9" t="s">
        <v>482</v>
      </c>
      <c r="G63" s="9" t="s">
        <v>93</v>
      </c>
      <c r="H63" s="9" t="s">
        <v>46</v>
      </c>
      <c r="I63" s="5" t="s">
        <v>56</v>
      </c>
      <c r="J63" s="9" t="n">
        <v>1</v>
      </c>
      <c r="K63" s="9" t="s">
        <v>231</v>
      </c>
      <c r="L63" s="9"/>
      <c r="M63" s="9"/>
      <c r="N63" s="9"/>
      <c r="O63" s="9"/>
      <c r="P63" s="9"/>
      <c r="Q63" s="9" t="s">
        <v>64</v>
      </c>
      <c r="R63" s="9" t="n">
        <v>1</v>
      </c>
      <c r="S63" s="9" t="s">
        <v>483</v>
      </c>
    </row>
    <row r="64" customFormat="false" ht="15" hidden="false" customHeight="false" outlineLevel="0" collapsed="false">
      <c r="A64" s="9" t="s">
        <v>484</v>
      </c>
      <c r="B64" s="5" t="s">
        <v>485</v>
      </c>
      <c r="C64" s="9" t="s">
        <v>485</v>
      </c>
      <c r="D64" s="9" t="s">
        <v>92</v>
      </c>
      <c r="E64" s="10" t="s">
        <v>486</v>
      </c>
      <c r="F64" s="9" t="s">
        <v>487</v>
      </c>
      <c r="G64" s="9" t="s">
        <v>93</v>
      </c>
      <c r="H64" s="9" t="s">
        <v>44</v>
      </c>
      <c r="I64" s="5" t="s">
        <v>56</v>
      </c>
      <c r="J64" s="9" t="n">
        <v>1</v>
      </c>
      <c r="K64" s="9" t="s">
        <v>488</v>
      </c>
      <c r="L64" s="9"/>
      <c r="M64" s="9"/>
      <c r="N64" s="9"/>
      <c r="O64" s="9"/>
      <c r="P64" s="9"/>
      <c r="Q64" s="9" t="s">
        <v>64</v>
      </c>
      <c r="R64" s="9" t="n">
        <v>1</v>
      </c>
      <c r="S64" s="9" t="s">
        <v>489</v>
      </c>
    </row>
    <row r="65" customFormat="false" ht="15" hidden="false" customHeight="false" outlineLevel="0" collapsed="false">
      <c r="A65" s="9" t="s">
        <v>490</v>
      </c>
      <c r="B65" s="5" t="s">
        <v>491</v>
      </c>
      <c r="C65" s="9" t="s">
        <v>492</v>
      </c>
      <c r="D65" s="9" t="s">
        <v>92</v>
      </c>
      <c r="E65" s="9"/>
      <c r="F65" s="9" t="s">
        <v>493</v>
      </c>
      <c r="G65" s="9" t="s">
        <v>493</v>
      </c>
      <c r="H65" s="9" t="s">
        <v>51</v>
      </c>
      <c r="I65" s="5" t="s">
        <v>53</v>
      </c>
      <c r="J65" s="9" t="n">
        <v>1</v>
      </c>
      <c r="K65" s="9" t="s">
        <v>494</v>
      </c>
      <c r="L65" s="9"/>
      <c r="M65" s="9"/>
      <c r="N65" s="9"/>
      <c r="O65" s="9"/>
      <c r="P65" s="9"/>
      <c r="Q65" s="9" t="s">
        <v>64</v>
      </c>
      <c r="R65" s="9" t="n">
        <v>1</v>
      </c>
      <c r="S65" s="9" t="s">
        <v>495</v>
      </c>
    </row>
    <row r="66" customFormat="false" ht="15" hidden="false" customHeight="false" outlineLevel="0" collapsed="false">
      <c r="A66" s="9" t="s">
        <v>496</v>
      </c>
      <c r="B66" s="5" t="s">
        <v>497</v>
      </c>
      <c r="C66" s="9" t="s">
        <v>498</v>
      </c>
      <c r="D66" s="9" t="s">
        <v>92</v>
      </c>
      <c r="E66" s="10" t="s">
        <v>499</v>
      </c>
      <c r="F66" s="9" t="s">
        <v>500</v>
      </c>
      <c r="G66" s="9" t="s">
        <v>500</v>
      </c>
      <c r="H66" s="9" t="s">
        <v>51</v>
      </c>
      <c r="I66" s="5" t="s">
        <v>53</v>
      </c>
      <c r="J66" s="9" t="n">
        <v>1</v>
      </c>
      <c r="K66" s="9" t="s">
        <v>106</v>
      </c>
      <c r="L66" s="9"/>
      <c r="M66" s="9"/>
      <c r="N66" s="9"/>
      <c r="O66" s="9"/>
      <c r="P66" s="9"/>
      <c r="Q66" s="9" t="s">
        <v>64</v>
      </c>
      <c r="R66" s="9" t="n">
        <v>1</v>
      </c>
      <c r="S66" s="9" t="s">
        <v>501</v>
      </c>
    </row>
    <row r="67" customFormat="false" ht="15" hidden="false" customHeight="false" outlineLevel="0" collapsed="false">
      <c r="A67" s="9" t="s">
        <v>502</v>
      </c>
      <c r="B67" s="5" t="s">
        <v>503</v>
      </c>
      <c r="C67" s="9" t="s">
        <v>504</v>
      </c>
      <c r="D67" s="9" t="s">
        <v>92</v>
      </c>
      <c r="E67" s="9"/>
      <c r="F67" s="9"/>
      <c r="G67" s="9" t="s">
        <v>93</v>
      </c>
      <c r="H67" s="9" t="s">
        <v>44</v>
      </c>
      <c r="I67" s="5" t="s">
        <v>56</v>
      </c>
      <c r="J67" s="9" t="n">
        <v>1</v>
      </c>
      <c r="K67" s="9" t="s">
        <v>94</v>
      </c>
      <c r="L67" s="9"/>
      <c r="M67" s="9"/>
      <c r="N67" s="9"/>
      <c r="O67" s="9"/>
      <c r="P67" s="9"/>
      <c r="Q67" s="9" t="s">
        <v>64</v>
      </c>
      <c r="R67" s="9" t="n">
        <v>4</v>
      </c>
      <c r="S67" s="5" t="s">
        <v>505</v>
      </c>
    </row>
    <row r="68" customFormat="false" ht="15" hidden="false" customHeight="false" outlineLevel="0" collapsed="false">
      <c r="A68" s="9" t="s">
        <v>506</v>
      </c>
      <c r="B68" s="5" t="s">
        <v>507</v>
      </c>
      <c r="C68" s="9" t="s">
        <v>508</v>
      </c>
      <c r="D68" s="9" t="s">
        <v>92</v>
      </c>
      <c r="E68" s="9"/>
      <c r="F68" s="9" t="s">
        <v>509</v>
      </c>
      <c r="G68" s="9" t="s">
        <v>93</v>
      </c>
      <c r="H68" s="9" t="s">
        <v>50</v>
      </c>
      <c r="I68" s="5" t="s">
        <v>57</v>
      </c>
      <c r="J68" s="9" t="n">
        <v>1</v>
      </c>
      <c r="K68" s="9" t="s">
        <v>510</v>
      </c>
      <c r="L68" s="9"/>
      <c r="M68" s="9"/>
      <c r="N68" s="9"/>
      <c r="O68" s="9"/>
      <c r="P68" s="9"/>
      <c r="Q68" s="9" t="s">
        <v>64</v>
      </c>
      <c r="R68" s="9" t="n">
        <v>1</v>
      </c>
      <c r="S68" s="9" t="s">
        <v>511</v>
      </c>
    </row>
    <row r="69" customFormat="false" ht="15" hidden="false" customHeight="false" outlineLevel="0" collapsed="false">
      <c r="A69" s="9" t="s">
        <v>512</v>
      </c>
      <c r="B69" s="5" t="s">
        <v>513</v>
      </c>
      <c r="C69" s="9"/>
      <c r="D69" s="9" t="s">
        <v>92</v>
      </c>
      <c r="E69" s="10" t="s">
        <v>514</v>
      </c>
      <c r="F69" s="9" t="s">
        <v>515</v>
      </c>
      <c r="G69" s="9" t="s">
        <v>93</v>
      </c>
      <c r="H69" s="9" t="s">
        <v>50</v>
      </c>
      <c r="I69" s="5" t="s">
        <v>53</v>
      </c>
      <c r="J69" s="9" t="n">
        <v>1</v>
      </c>
      <c r="K69" s="9" t="s">
        <v>516</v>
      </c>
      <c r="L69" s="9"/>
      <c r="M69" s="9"/>
      <c r="N69" s="9"/>
      <c r="O69" s="9"/>
      <c r="P69" s="9"/>
      <c r="Q69" s="9" t="s">
        <v>64</v>
      </c>
      <c r="R69" s="9" t="n">
        <v>1</v>
      </c>
      <c r="S69" s="9" t="s">
        <v>517</v>
      </c>
    </row>
    <row r="70" customFormat="false" ht="15" hidden="false" customHeight="false" outlineLevel="0" collapsed="false">
      <c r="A70" s="9" t="s">
        <v>518</v>
      </c>
      <c r="B70" s="5" t="s">
        <v>519</v>
      </c>
      <c r="C70" s="9" t="s">
        <v>520</v>
      </c>
      <c r="D70" s="9" t="s">
        <v>156</v>
      </c>
      <c r="E70" s="10" t="s">
        <v>521</v>
      </c>
      <c r="F70" s="9" t="s">
        <v>522</v>
      </c>
      <c r="G70" s="9" t="s">
        <v>93</v>
      </c>
      <c r="H70" s="9" t="s">
        <v>48</v>
      </c>
      <c r="I70" s="5" t="s">
        <v>305</v>
      </c>
      <c r="J70" s="9" t="n">
        <v>2</v>
      </c>
      <c r="K70" s="9" t="s">
        <v>523</v>
      </c>
      <c r="L70" s="9" t="s">
        <v>524</v>
      </c>
      <c r="M70" s="9" t="s">
        <v>525</v>
      </c>
      <c r="N70" s="9" t="s">
        <v>526</v>
      </c>
      <c r="O70" s="9"/>
      <c r="P70" s="9"/>
      <c r="Q70" s="9" t="s">
        <v>63</v>
      </c>
      <c r="R70" s="9" t="n">
        <v>10</v>
      </c>
      <c r="S70" s="5" t="s">
        <v>527</v>
      </c>
    </row>
    <row r="71" customFormat="false" ht="15" hidden="false" customHeight="false" outlineLevel="0" collapsed="false">
      <c r="A71" s="9" t="s">
        <v>528</v>
      </c>
      <c r="B71" s="5" t="s">
        <v>529</v>
      </c>
      <c r="C71" s="9" t="s">
        <v>530</v>
      </c>
      <c r="D71" s="9" t="s">
        <v>156</v>
      </c>
      <c r="E71" s="10" t="s">
        <v>531</v>
      </c>
      <c r="F71" s="9" t="s">
        <v>113</v>
      </c>
      <c r="G71" s="9" t="s">
        <v>93</v>
      </c>
      <c r="H71" s="9" t="s">
        <v>50</v>
      </c>
      <c r="I71" s="5" t="s">
        <v>55</v>
      </c>
      <c r="J71" s="9" t="n">
        <v>1</v>
      </c>
      <c r="K71" s="9" t="s">
        <v>532</v>
      </c>
      <c r="L71" s="9" t="s">
        <v>533</v>
      </c>
      <c r="M71" s="9"/>
      <c r="N71" s="9"/>
      <c r="O71" s="9"/>
      <c r="P71" s="9"/>
      <c r="Q71" s="9" t="s">
        <v>63</v>
      </c>
      <c r="R71" s="9" t="n">
        <v>6</v>
      </c>
      <c r="S71" s="5" t="s">
        <v>534</v>
      </c>
    </row>
    <row r="72" customFormat="false" ht="15" hidden="false" customHeight="false" outlineLevel="0" collapsed="false">
      <c r="A72" s="9" t="s">
        <v>535</v>
      </c>
      <c r="B72" s="5" t="s">
        <v>536</v>
      </c>
      <c r="C72" s="9" t="s">
        <v>537</v>
      </c>
      <c r="D72" s="9" t="s">
        <v>92</v>
      </c>
      <c r="E72" s="10" t="s">
        <v>538</v>
      </c>
      <c r="F72" s="9" t="s">
        <v>219</v>
      </c>
      <c r="G72" s="9" t="s">
        <v>93</v>
      </c>
      <c r="H72" s="9" t="s">
        <v>44</v>
      </c>
      <c r="I72" s="5" t="s">
        <v>54</v>
      </c>
      <c r="J72" s="9" t="n">
        <v>1</v>
      </c>
      <c r="K72" s="9" t="s">
        <v>539</v>
      </c>
      <c r="L72" s="9" t="s">
        <v>540</v>
      </c>
      <c r="M72" s="9" t="s">
        <v>541</v>
      </c>
      <c r="N72" s="9"/>
      <c r="O72" s="9"/>
      <c r="P72" s="9"/>
      <c r="Q72" s="9" t="s">
        <v>63</v>
      </c>
      <c r="R72" s="9" t="n">
        <v>4</v>
      </c>
      <c r="S72" s="5" t="s">
        <v>542</v>
      </c>
    </row>
    <row r="73" customFormat="false" ht="57.45" hidden="false" customHeight="false" outlineLevel="0" collapsed="false">
      <c r="A73" s="9" t="s">
        <v>543</v>
      </c>
      <c r="B73" s="5" t="s">
        <v>544</v>
      </c>
      <c r="C73" s="9" t="s">
        <v>545</v>
      </c>
      <c r="D73" s="9" t="s">
        <v>92</v>
      </c>
      <c r="E73" s="10" t="s">
        <v>546</v>
      </c>
      <c r="F73" s="9" t="s">
        <v>547</v>
      </c>
      <c r="G73" s="9" t="s">
        <v>548</v>
      </c>
      <c r="H73" s="9" t="s">
        <v>51</v>
      </c>
      <c r="I73" s="5" t="s">
        <v>53</v>
      </c>
      <c r="J73" s="9" t="n">
        <v>1</v>
      </c>
      <c r="K73" s="9" t="s">
        <v>114</v>
      </c>
      <c r="L73" s="9" t="s">
        <v>549</v>
      </c>
      <c r="M73" s="9"/>
      <c r="N73" s="9"/>
      <c r="O73" s="9"/>
      <c r="P73" s="9" t="s">
        <v>550</v>
      </c>
      <c r="Q73" s="9" t="s">
        <v>62</v>
      </c>
      <c r="R73" s="9" t="n">
        <v>5</v>
      </c>
      <c r="S73" s="5" t="s">
        <v>551</v>
      </c>
    </row>
    <row r="74" customFormat="false" ht="15" hidden="false" customHeight="false" outlineLevel="0" collapsed="false">
      <c r="A74" s="9" t="s">
        <v>552</v>
      </c>
      <c r="B74" s="5" t="s">
        <v>553</v>
      </c>
      <c r="C74" s="9" t="s">
        <v>554</v>
      </c>
      <c r="D74" s="9" t="s">
        <v>92</v>
      </c>
      <c r="E74" s="10" t="s">
        <v>555</v>
      </c>
      <c r="F74" s="9" t="s">
        <v>93</v>
      </c>
      <c r="G74" s="9" t="s">
        <v>93</v>
      </c>
      <c r="H74" s="9" t="s">
        <v>333</v>
      </c>
      <c r="I74" s="5" t="s">
        <v>305</v>
      </c>
      <c r="J74" s="9" t="n">
        <v>2</v>
      </c>
      <c r="K74" s="9" t="s">
        <v>556</v>
      </c>
      <c r="L74" s="9" t="s">
        <v>557</v>
      </c>
      <c r="M74" s="9"/>
      <c r="N74" s="9"/>
      <c r="O74" s="9"/>
      <c r="P74" s="9"/>
      <c r="Q74" s="9" t="s">
        <v>63</v>
      </c>
      <c r="R74" s="9" t="n">
        <v>10</v>
      </c>
      <c r="S74" s="5" t="s">
        <v>558</v>
      </c>
    </row>
    <row r="75" customFormat="false" ht="15" hidden="false" customHeight="false" outlineLevel="0" collapsed="false">
      <c r="A75" s="9" t="s">
        <v>559</v>
      </c>
      <c r="B75" s="5" t="s">
        <v>560</v>
      </c>
      <c r="C75" s="9" t="s">
        <v>561</v>
      </c>
      <c r="D75" s="9" t="s">
        <v>156</v>
      </c>
      <c r="E75" s="9"/>
      <c r="F75" s="9"/>
      <c r="G75" s="9" t="s">
        <v>562</v>
      </c>
      <c r="H75" s="9" t="s">
        <v>51</v>
      </c>
      <c r="I75" s="5" t="s">
        <v>55</v>
      </c>
      <c r="J75" s="9" t="n">
        <v>1</v>
      </c>
      <c r="K75" s="9" t="s">
        <v>243</v>
      </c>
      <c r="L75" s="9"/>
      <c r="M75" s="9"/>
      <c r="N75" s="9"/>
      <c r="O75" s="9"/>
      <c r="P75" s="9"/>
      <c r="Q75" s="9" t="s">
        <v>63</v>
      </c>
      <c r="R75" s="9" t="n">
        <v>1</v>
      </c>
      <c r="S75" s="9" t="s">
        <v>563</v>
      </c>
    </row>
    <row r="76" customFormat="false" ht="15" hidden="false" customHeight="false" outlineLevel="0" collapsed="false">
      <c r="A76" s="9" t="s">
        <v>564</v>
      </c>
      <c r="B76" s="5" t="s">
        <v>565</v>
      </c>
      <c r="C76" s="9" t="s">
        <v>566</v>
      </c>
      <c r="D76" s="9" t="s">
        <v>156</v>
      </c>
      <c r="E76" s="10" t="s">
        <v>567</v>
      </c>
      <c r="F76" s="9" t="s">
        <v>219</v>
      </c>
      <c r="G76" s="9" t="s">
        <v>93</v>
      </c>
      <c r="H76" s="9" t="s">
        <v>44</v>
      </c>
      <c r="I76" s="5" t="s">
        <v>305</v>
      </c>
      <c r="J76" s="9" t="n">
        <v>2</v>
      </c>
      <c r="K76" s="9" t="s">
        <v>306</v>
      </c>
      <c r="L76" s="9" t="s">
        <v>568</v>
      </c>
      <c r="M76" s="9" t="s">
        <v>569</v>
      </c>
      <c r="N76" s="9"/>
      <c r="O76" s="9" t="s">
        <v>570</v>
      </c>
      <c r="P76" s="9"/>
      <c r="Q76" s="9" t="s">
        <v>63</v>
      </c>
      <c r="R76" s="9" t="n">
        <v>5</v>
      </c>
      <c r="S76" s="5" t="s">
        <v>571</v>
      </c>
    </row>
    <row r="77" customFormat="false" ht="35.05" hidden="false" customHeight="false" outlineLevel="0" collapsed="false">
      <c r="A77" s="9" t="s">
        <v>572</v>
      </c>
      <c r="B77" s="5" t="s">
        <v>573</v>
      </c>
      <c r="C77" s="9" t="s">
        <v>574</v>
      </c>
      <c r="D77" s="9" t="s">
        <v>92</v>
      </c>
      <c r="E77" s="9"/>
      <c r="F77" s="9" t="s">
        <v>575</v>
      </c>
      <c r="G77" s="9" t="s">
        <v>134</v>
      </c>
      <c r="H77" s="9" t="s">
        <v>51</v>
      </c>
      <c r="I77" s="5" t="s">
        <v>53</v>
      </c>
      <c r="J77" s="9" t="n">
        <v>1</v>
      </c>
      <c r="K77" s="9" t="s">
        <v>114</v>
      </c>
      <c r="L77" s="9"/>
      <c r="M77" s="9"/>
      <c r="N77" s="9"/>
      <c r="O77" s="9"/>
      <c r="P77" s="9" t="s">
        <v>238</v>
      </c>
      <c r="Q77" s="9" t="s">
        <v>63</v>
      </c>
      <c r="R77" s="9" t="n">
        <v>3</v>
      </c>
      <c r="S77" s="5" t="s">
        <v>576</v>
      </c>
    </row>
    <row r="78" customFormat="false" ht="15" hidden="false" customHeight="false" outlineLevel="0" collapsed="false">
      <c r="A78" s="9" t="s">
        <v>577</v>
      </c>
      <c r="B78" s="5" t="s">
        <v>578</v>
      </c>
      <c r="C78" s="9" t="s">
        <v>578</v>
      </c>
      <c r="D78" s="9" t="s">
        <v>92</v>
      </c>
      <c r="E78" s="9"/>
      <c r="F78" s="9" t="s">
        <v>579</v>
      </c>
      <c r="G78" s="9" t="s">
        <v>134</v>
      </c>
      <c r="H78" s="9" t="s">
        <v>51</v>
      </c>
      <c r="I78" s="5" t="s">
        <v>53</v>
      </c>
      <c r="J78" s="9" t="n">
        <v>1</v>
      </c>
      <c r="K78" s="9" t="s">
        <v>580</v>
      </c>
      <c r="L78" s="9"/>
      <c r="M78" s="9"/>
      <c r="N78" s="9"/>
      <c r="O78" s="9"/>
      <c r="P78" s="9"/>
      <c r="Q78" s="9" t="s">
        <v>64</v>
      </c>
      <c r="R78" s="9" t="n">
        <v>1</v>
      </c>
      <c r="S78" s="9" t="s">
        <v>581</v>
      </c>
    </row>
    <row r="79" customFormat="false" ht="15" hidden="false" customHeight="false" outlineLevel="0" collapsed="false">
      <c r="A79" s="9" t="s">
        <v>582</v>
      </c>
      <c r="B79" s="5" t="s">
        <v>583</v>
      </c>
      <c r="C79" s="9" t="s">
        <v>584</v>
      </c>
      <c r="D79" s="9" t="s">
        <v>92</v>
      </c>
      <c r="E79" s="10" t="s">
        <v>585</v>
      </c>
      <c r="F79" s="9" t="s">
        <v>341</v>
      </c>
      <c r="G79" s="9" t="s">
        <v>93</v>
      </c>
      <c r="H79" s="9" t="s">
        <v>44</v>
      </c>
      <c r="I79" s="5" t="s">
        <v>56</v>
      </c>
      <c r="J79" s="9" t="n">
        <v>1</v>
      </c>
      <c r="K79" s="9" t="s">
        <v>586</v>
      </c>
      <c r="L79" s="9"/>
      <c r="M79" s="9"/>
      <c r="N79" s="9"/>
      <c r="O79" s="9"/>
      <c r="P79" s="9"/>
      <c r="Q79" s="9" t="s">
        <v>63</v>
      </c>
      <c r="R79" s="9" t="n">
        <v>2</v>
      </c>
      <c r="S79" s="5" t="s">
        <v>587</v>
      </c>
    </row>
    <row r="80" customFormat="false" ht="15" hidden="false" customHeight="false" outlineLevel="0" collapsed="false">
      <c r="A80" s="9" t="s">
        <v>588</v>
      </c>
      <c r="B80" s="5" t="s">
        <v>589</v>
      </c>
      <c r="C80" s="9"/>
      <c r="D80" s="9" t="s">
        <v>92</v>
      </c>
      <c r="E80" s="10" t="s">
        <v>590</v>
      </c>
      <c r="F80" s="9"/>
      <c r="G80" s="9" t="s">
        <v>93</v>
      </c>
      <c r="H80" s="9" t="s">
        <v>46</v>
      </c>
      <c r="I80" s="5" t="s">
        <v>56</v>
      </c>
      <c r="J80" s="9" t="n">
        <v>1</v>
      </c>
      <c r="K80" s="9" t="s">
        <v>231</v>
      </c>
      <c r="L80" s="9"/>
      <c r="M80" s="9"/>
      <c r="N80" s="9"/>
      <c r="O80" s="9"/>
      <c r="P80" s="9"/>
      <c r="Q80" s="9" t="s">
        <v>64</v>
      </c>
      <c r="R80" s="9" t="n">
        <v>1</v>
      </c>
      <c r="S80" s="9" t="s">
        <v>590</v>
      </c>
    </row>
    <row r="81" customFormat="false" ht="35.05" hidden="false" customHeight="false" outlineLevel="0" collapsed="false">
      <c r="A81" s="9" t="s">
        <v>591</v>
      </c>
      <c r="B81" s="5" t="s">
        <v>592</v>
      </c>
      <c r="C81" s="9" t="s">
        <v>593</v>
      </c>
      <c r="D81" s="9" t="s">
        <v>92</v>
      </c>
      <c r="E81" s="10" t="s">
        <v>594</v>
      </c>
      <c r="F81" s="9"/>
      <c r="G81" s="9" t="s">
        <v>121</v>
      </c>
      <c r="H81" s="9" t="s">
        <v>51</v>
      </c>
      <c r="I81" s="5" t="s">
        <v>57</v>
      </c>
      <c r="J81" s="9" t="n">
        <v>1</v>
      </c>
      <c r="K81" s="9" t="s">
        <v>114</v>
      </c>
      <c r="L81" s="9" t="s">
        <v>595</v>
      </c>
      <c r="M81" s="9"/>
      <c r="N81" s="9"/>
      <c r="O81" s="9"/>
      <c r="P81" s="9"/>
      <c r="Q81" s="9" t="s">
        <v>64</v>
      </c>
      <c r="R81" s="9" t="n">
        <v>3</v>
      </c>
      <c r="S81" s="5" t="s">
        <v>596</v>
      </c>
    </row>
    <row r="82" customFormat="false" ht="15" hidden="false" customHeight="false" outlineLevel="0" collapsed="false">
      <c r="A82" s="9" t="s">
        <v>597</v>
      </c>
      <c r="B82" s="5" t="s">
        <v>598</v>
      </c>
      <c r="C82" s="9"/>
      <c r="D82" s="9" t="s">
        <v>92</v>
      </c>
      <c r="E82" s="10" t="s">
        <v>599</v>
      </c>
      <c r="F82" s="9"/>
      <c r="G82" s="9" t="s">
        <v>93</v>
      </c>
      <c r="H82" s="9" t="s">
        <v>46</v>
      </c>
      <c r="I82" s="5" t="s">
        <v>56</v>
      </c>
      <c r="J82" s="9" t="n">
        <v>1</v>
      </c>
      <c r="K82" s="9" t="s">
        <v>231</v>
      </c>
      <c r="L82" s="9"/>
      <c r="M82" s="9"/>
      <c r="N82" s="9"/>
      <c r="O82" s="9"/>
      <c r="P82" s="9"/>
      <c r="Q82" s="9" t="s">
        <v>64</v>
      </c>
      <c r="R82" s="9" t="n">
        <v>3</v>
      </c>
      <c r="S82" s="5" t="s">
        <v>600</v>
      </c>
    </row>
    <row r="83" customFormat="false" ht="35.05" hidden="false" customHeight="false" outlineLevel="0" collapsed="false">
      <c r="A83" s="9" t="s">
        <v>601</v>
      </c>
      <c r="B83" s="5" t="s">
        <v>602</v>
      </c>
      <c r="C83" s="9" t="s">
        <v>603</v>
      </c>
      <c r="D83" s="9" t="s">
        <v>92</v>
      </c>
      <c r="E83" s="10" t="s">
        <v>604</v>
      </c>
      <c r="F83" s="9"/>
      <c r="G83" s="9" t="s">
        <v>93</v>
      </c>
      <c r="H83" s="9" t="s">
        <v>47</v>
      </c>
      <c r="I83" s="5" t="s">
        <v>58</v>
      </c>
      <c r="J83" s="9" t="n">
        <v>1</v>
      </c>
      <c r="K83" s="9" t="s">
        <v>114</v>
      </c>
      <c r="L83" s="9" t="s">
        <v>605</v>
      </c>
      <c r="M83" s="9"/>
      <c r="N83" s="9"/>
      <c r="O83" s="9"/>
      <c r="P83" s="9"/>
      <c r="Q83" s="9" t="s">
        <v>63</v>
      </c>
      <c r="R83" s="9" t="n">
        <v>3</v>
      </c>
      <c r="S83" s="5" t="s">
        <v>606</v>
      </c>
    </row>
    <row r="84" customFormat="false" ht="15" hidden="false" customHeight="false" outlineLevel="0" collapsed="false">
      <c r="A84" s="9" t="s">
        <v>607</v>
      </c>
      <c r="B84" s="5" t="s">
        <v>608</v>
      </c>
      <c r="C84" s="9" t="s">
        <v>609</v>
      </c>
      <c r="D84" s="9" t="s">
        <v>92</v>
      </c>
      <c r="E84" s="10" t="s">
        <v>604</v>
      </c>
      <c r="F84" s="9"/>
      <c r="G84" s="9" t="s">
        <v>610</v>
      </c>
      <c r="H84" s="9" t="s">
        <v>51</v>
      </c>
      <c r="I84" s="5" t="s">
        <v>58</v>
      </c>
      <c r="J84" s="9" t="n">
        <v>1</v>
      </c>
      <c r="K84" s="9" t="s">
        <v>114</v>
      </c>
      <c r="L84" s="9" t="s">
        <v>611</v>
      </c>
      <c r="M84" s="9"/>
      <c r="N84" s="9"/>
      <c r="O84" s="9"/>
      <c r="P84" s="9"/>
      <c r="Q84" s="9" t="s">
        <v>63</v>
      </c>
      <c r="R84" s="9" t="n">
        <v>1</v>
      </c>
      <c r="S84" s="9" t="s">
        <v>612</v>
      </c>
    </row>
    <row r="85" customFormat="false" ht="15" hidden="false" customHeight="false" outlineLevel="0" collapsed="false">
      <c r="A85" s="9" t="s">
        <v>613</v>
      </c>
      <c r="B85" s="5" t="s">
        <v>614</v>
      </c>
      <c r="C85" s="9" t="s">
        <v>615</v>
      </c>
      <c r="D85" s="9" t="s">
        <v>92</v>
      </c>
      <c r="E85" s="10" t="s">
        <v>604</v>
      </c>
      <c r="F85" s="9"/>
      <c r="G85" s="9" t="s">
        <v>616</v>
      </c>
      <c r="H85" s="9" t="s">
        <v>51</v>
      </c>
      <c r="I85" s="5" t="s">
        <v>58</v>
      </c>
      <c r="J85" s="9" t="n">
        <v>1</v>
      </c>
      <c r="K85" s="9" t="s">
        <v>114</v>
      </c>
      <c r="L85" s="9" t="s">
        <v>611</v>
      </c>
      <c r="M85" s="9"/>
      <c r="N85" s="9"/>
      <c r="O85" s="9"/>
      <c r="P85" s="9"/>
      <c r="Q85" s="9" t="s">
        <v>63</v>
      </c>
      <c r="R85" s="9" t="n">
        <v>1</v>
      </c>
      <c r="S85" s="9" t="s">
        <v>612</v>
      </c>
    </row>
    <row r="86" customFormat="false" ht="68.65" hidden="false" customHeight="false" outlineLevel="0" collapsed="false">
      <c r="A86" s="9" t="s">
        <v>617</v>
      </c>
      <c r="B86" s="5" t="s">
        <v>618</v>
      </c>
      <c r="C86" s="9" t="s">
        <v>619</v>
      </c>
      <c r="D86" s="9" t="s">
        <v>92</v>
      </c>
      <c r="E86" s="9"/>
      <c r="F86" s="9"/>
      <c r="G86" s="9" t="s">
        <v>93</v>
      </c>
      <c r="H86" s="9" t="s">
        <v>46</v>
      </c>
      <c r="I86" s="5" t="s">
        <v>55</v>
      </c>
      <c r="J86" s="9" t="n">
        <v>1</v>
      </c>
      <c r="K86" s="9" t="s">
        <v>274</v>
      </c>
      <c r="L86" s="9" t="s">
        <v>620</v>
      </c>
      <c r="M86" s="9" t="s">
        <v>621</v>
      </c>
      <c r="N86" s="9"/>
      <c r="O86" s="9"/>
      <c r="P86" s="9"/>
      <c r="Q86" s="9" t="s">
        <v>63</v>
      </c>
      <c r="R86" s="9" t="n">
        <v>6</v>
      </c>
      <c r="S86" s="5" t="s">
        <v>622</v>
      </c>
    </row>
    <row r="87" customFormat="false" ht="15" hidden="false" customHeight="false" outlineLevel="0" collapsed="false">
      <c r="A87" s="9" t="s">
        <v>623</v>
      </c>
      <c r="B87" s="5" t="s">
        <v>624</v>
      </c>
      <c r="C87" s="9" t="s">
        <v>625</v>
      </c>
      <c r="D87" s="9" t="s">
        <v>92</v>
      </c>
      <c r="E87" s="10" t="s">
        <v>626</v>
      </c>
      <c r="F87" s="9"/>
      <c r="G87" s="9" t="s">
        <v>121</v>
      </c>
      <c r="H87" s="9" t="s">
        <v>51</v>
      </c>
      <c r="I87" s="5" t="s">
        <v>57</v>
      </c>
      <c r="J87" s="9" t="n">
        <v>1</v>
      </c>
      <c r="K87" s="9" t="s">
        <v>114</v>
      </c>
      <c r="L87" s="9"/>
      <c r="M87" s="9"/>
      <c r="N87" s="9"/>
      <c r="O87" s="9"/>
      <c r="P87" s="9"/>
      <c r="Q87" s="9" t="s">
        <v>63</v>
      </c>
      <c r="R87" s="9" t="n">
        <v>4</v>
      </c>
      <c r="S87" s="5" t="s">
        <v>627</v>
      </c>
    </row>
    <row r="88" customFormat="false" ht="35.05" hidden="false" customHeight="false" outlineLevel="0" collapsed="false">
      <c r="A88" s="9" t="s">
        <v>628</v>
      </c>
      <c r="B88" s="5" t="s">
        <v>629</v>
      </c>
      <c r="C88" s="9" t="s">
        <v>630</v>
      </c>
      <c r="D88" s="9" t="s">
        <v>92</v>
      </c>
      <c r="E88" s="9"/>
      <c r="F88" s="9" t="s">
        <v>631</v>
      </c>
      <c r="G88" s="9" t="s">
        <v>93</v>
      </c>
      <c r="H88" s="9" t="s">
        <v>46</v>
      </c>
      <c r="I88" s="5" t="s">
        <v>54</v>
      </c>
      <c r="J88" s="9" t="n">
        <v>1</v>
      </c>
      <c r="K88" s="9" t="s">
        <v>427</v>
      </c>
      <c r="L88" s="9"/>
      <c r="M88" s="9"/>
      <c r="N88" s="9"/>
      <c r="O88" s="9"/>
      <c r="P88" s="9"/>
      <c r="Q88" s="9" t="s">
        <v>63</v>
      </c>
      <c r="R88" s="9" t="n">
        <v>3</v>
      </c>
      <c r="S88" s="5" t="s">
        <v>632</v>
      </c>
    </row>
    <row r="89" customFormat="false" ht="15" hidden="false" customHeight="false" outlineLevel="0" collapsed="false">
      <c r="A89" s="9" t="s">
        <v>633</v>
      </c>
      <c r="B89" s="5" t="s">
        <v>634</v>
      </c>
      <c r="C89" s="9" t="s">
        <v>635</v>
      </c>
      <c r="D89" s="9" t="s">
        <v>92</v>
      </c>
      <c r="E89" s="10" t="s">
        <v>636</v>
      </c>
      <c r="F89" s="9" t="s">
        <v>548</v>
      </c>
      <c r="G89" s="9" t="s">
        <v>548</v>
      </c>
      <c r="H89" s="9" t="s">
        <v>51</v>
      </c>
      <c r="I89" s="5" t="s">
        <v>53</v>
      </c>
      <c r="J89" s="9" t="n">
        <v>1</v>
      </c>
      <c r="K89" s="9" t="s">
        <v>114</v>
      </c>
      <c r="L89" s="9"/>
      <c r="M89" s="9"/>
      <c r="N89" s="9"/>
      <c r="O89" s="9"/>
      <c r="P89" s="9" t="s">
        <v>637</v>
      </c>
      <c r="Q89" s="9" t="s">
        <v>63</v>
      </c>
      <c r="R89" s="9" t="n">
        <v>3</v>
      </c>
      <c r="S89" s="5" t="s">
        <v>638</v>
      </c>
    </row>
    <row r="90" customFormat="false" ht="15" hidden="false" customHeight="false" outlineLevel="0" collapsed="false">
      <c r="A90" s="9" t="s">
        <v>639</v>
      </c>
      <c r="B90" s="5" t="s">
        <v>640</v>
      </c>
      <c r="C90" s="9" t="s">
        <v>641</v>
      </c>
      <c r="D90" s="9" t="s">
        <v>156</v>
      </c>
      <c r="E90" s="10" t="s">
        <v>642</v>
      </c>
      <c r="F90" s="9" t="s">
        <v>643</v>
      </c>
      <c r="G90" s="9" t="s">
        <v>93</v>
      </c>
      <c r="H90" s="9" t="s">
        <v>45</v>
      </c>
      <c r="I90" s="5" t="s">
        <v>305</v>
      </c>
      <c r="J90" s="9" t="n">
        <v>2</v>
      </c>
      <c r="K90" s="9" t="s">
        <v>644</v>
      </c>
      <c r="L90" s="9" t="s">
        <v>645</v>
      </c>
      <c r="M90" s="9" t="s">
        <v>646</v>
      </c>
      <c r="N90" s="9" t="s">
        <v>647</v>
      </c>
      <c r="O90" s="9" t="s">
        <v>648</v>
      </c>
      <c r="P90" s="9"/>
      <c r="Q90" s="9" t="s">
        <v>63</v>
      </c>
      <c r="R90" s="9" t="n">
        <v>11</v>
      </c>
      <c r="S90" s="5" t="s">
        <v>649</v>
      </c>
    </row>
    <row r="91" customFormat="false" ht="15" hidden="false" customHeight="false" outlineLevel="0" collapsed="false">
      <c r="A91" s="9" t="s">
        <v>650</v>
      </c>
      <c r="B91" s="5" t="s">
        <v>651</v>
      </c>
      <c r="C91" s="9" t="s">
        <v>652</v>
      </c>
      <c r="D91" s="9" t="s">
        <v>92</v>
      </c>
      <c r="E91" s="10" t="s">
        <v>653</v>
      </c>
      <c r="F91" s="9" t="s">
        <v>134</v>
      </c>
      <c r="G91" s="9" t="s">
        <v>134</v>
      </c>
      <c r="H91" s="9" t="s">
        <v>51</v>
      </c>
      <c r="I91" s="5" t="s">
        <v>53</v>
      </c>
      <c r="J91" s="9" t="n">
        <v>1</v>
      </c>
      <c r="K91" s="9" t="s">
        <v>580</v>
      </c>
      <c r="L91" s="9"/>
      <c r="M91" s="9"/>
      <c r="N91" s="9"/>
      <c r="O91" s="9"/>
      <c r="P91" s="9"/>
      <c r="Q91" s="9" t="s">
        <v>64</v>
      </c>
      <c r="R91" s="9" t="n">
        <v>1</v>
      </c>
      <c r="S91" s="9" t="s">
        <v>654</v>
      </c>
    </row>
    <row r="92" customFormat="false" ht="15" hidden="false" customHeight="false" outlineLevel="0" collapsed="false">
      <c r="A92" s="9" t="s">
        <v>655</v>
      </c>
      <c r="B92" s="5" t="s">
        <v>656</v>
      </c>
      <c r="C92" s="9" t="s">
        <v>657</v>
      </c>
      <c r="D92" s="9" t="s">
        <v>92</v>
      </c>
      <c r="E92" s="10" t="s">
        <v>658</v>
      </c>
      <c r="F92" s="9" t="s">
        <v>121</v>
      </c>
      <c r="G92" s="9" t="s">
        <v>121</v>
      </c>
      <c r="H92" s="9" t="s">
        <v>51</v>
      </c>
      <c r="I92" s="5" t="s">
        <v>53</v>
      </c>
      <c r="J92" s="9" t="n">
        <v>1</v>
      </c>
      <c r="K92" s="9" t="s">
        <v>106</v>
      </c>
      <c r="L92" s="9"/>
      <c r="M92" s="9"/>
      <c r="N92" s="9"/>
      <c r="O92" s="9"/>
      <c r="P92" s="9"/>
      <c r="Q92" s="9" t="s">
        <v>63</v>
      </c>
      <c r="R92" s="9" t="n">
        <v>2</v>
      </c>
      <c r="S92" s="5" t="s">
        <v>659</v>
      </c>
    </row>
    <row r="93" customFormat="false" ht="23.85" hidden="false" customHeight="false" outlineLevel="0" collapsed="false">
      <c r="A93" s="9" t="s">
        <v>660</v>
      </c>
      <c r="B93" s="5" t="s">
        <v>661</v>
      </c>
      <c r="C93" s="9" t="s">
        <v>662</v>
      </c>
      <c r="D93" s="9" t="s">
        <v>156</v>
      </c>
      <c r="E93" s="9"/>
      <c r="F93" s="9" t="s">
        <v>663</v>
      </c>
      <c r="G93" s="9" t="s">
        <v>93</v>
      </c>
      <c r="H93" s="9" t="s">
        <v>47</v>
      </c>
      <c r="I93" s="5" t="s">
        <v>54</v>
      </c>
      <c r="J93" s="9" t="n">
        <v>1</v>
      </c>
      <c r="K93" s="9" t="s">
        <v>664</v>
      </c>
      <c r="L93" s="9" t="s">
        <v>665</v>
      </c>
      <c r="M93" s="9"/>
      <c r="N93" s="9"/>
      <c r="O93" s="9"/>
      <c r="P93" s="9"/>
      <c r="Q93" s="9" t="s">
        <v>64</v>
      </c>
      <c r="R93" s="9" t="n">
        <v>2</v>
      </c>
      <c r="S93" s="5" t="s">
        <v>666</v>
      </c>
    </row>
    <row r="94" customFormat="false" ht="15" hidden="false" customHeight="false" outlineLevel="0" collapsed="false">
      <c r="A94" s="9" t="s">
        <v>667</v>
      </c>
      <c r="B94" s="5" t="s">
        <v>668</v>
      </c>
      <c r="C94" s="9" t="s">
        <v>669</v>
      </c>
      <c r="D94" s="9" t="s">
        <v>156</v>
      </c>
      <c r="E94" s="10" t="s">
        <v>670</v>
      </c>
      <c r="F94" s="9" t="s">
        <v>671</v>
      </c>
      <c r="G94" s="9" t="s">
        <v>93</v>
      </c>
      <c r="H94" s="9" t="s">
        <v>45</v>
      </c>
      <c r="I94" s="5" t="s">
        <v>59</v>
      </c>
      <c r="J94" s="9" t="n">
        <v>1</v>
      </c>
      <c r="K94" s="9" t="s">
        <v>672</v>
      </c>
      <c r="L94" s="9" t="s">
        <v>673</v>
      </c>
      <c r="M94" s="9"/>
      <c r="N94" s="9"/>
      <c r="O94" s="9"/>
      <c r="P94" s="9"/>
      <c r="Q94" s="9" t="s">
        <v>63</v>
      </c>
      <c r="R94" s="9" t="n">
        <v>4</v>
      </c>
      <c r="S94" s="5" t="s">
        <v>674</v>
      </c>
    </row>
    <row r="95" customFormat="false" ht="15" hidden="false" customHeight="false" outlineLevel="0" collapsed="false">
      <c r="A95" s="9" t="s">
        <v>675</v>
      </c>
      <c r="B95" s="5" t="s">
        <v>676</v>
      </c>
      <c r="C95" s="9" t="s">
        <v>677</v>
      </c>
      <c r="D95" s="9" t="s">
        <v>156</v>
      </c>
      <c r="E95" s="10" t="s">
        <v>678</v>
      </c>
      <c r="F95" s="9" t="s">
        <v>679</v>
      </c>
      <c r="G95" s="9" t="s">
        <v>93</v>
      </c>
      <c r="H95" s="9" t="s">
        <v>44</v>
      </c>
      <c r="I95" s="5" t="s">
        <v>305</v>
      </c>
      <c r="J95" s="9" t="n">
        <v>2</v>
      </c>
      <c r="K95" s="9" t="s">
        <v>680</v>
      </c>
      <c r="L95" s="9" t="s">
        <v>681</v>
      </c>
      <c r="M95" s="9"/>
      <c r="N95" s="9"/>
      <c r="O95" s="9"/>
      <c r="P95" s="9" t="s">
        <v>682</v>
      </c>
      <c r="Q95" s="9" t="s">
        <v>63</v>
      </c>
      <c r="R95" s="9" t="n">
        <v>5</v>
      </c>
      <c r="S95" s="5" t="s">
        <v>683</v>
      </c>
    </row>
    <row r="96" customFormat="false" ht="15" hidden="false" customHeight="false" outlineLevel="0" collapsed="false">
      <c r="A96" s="9" t="s">
        <v>684</v>
      </c>
      <c r="B96" s="5" t="s">
        <v>685</v>
      </c>
      <c r="C96" s="9" t="s">
        <v>686</v>
      </c>
      <c r="D96" s="9" t="s">
        <v>92</v>
      </c>
      <c r="E96" s="9"/>
      <c r="F96" s="9" t="s">
        <v>687</v>
      </c>
      <c r="G96" s="9" t="s">
        <v>134</v>
      </c>
      <c r="H96" s="9" t="s">
        <v>51</v>
      </c>
      <c r="I96" s="5" t="s">
        <v>53</v>
      </c>
      <c r="J96" s="9" t="n">
        <v>1</v>
      </c>
      <c r="K96" s="9" t="s">
        <v>114</v>
      </c>
      <c r="L96" s="9" t="s">
        <v>688</v>
      </c>
      <c r="M96" s="9"/>
      <c r="N96" s="9"/>
      <c r="O96" s="9"/>
      <c r="P96" s="9" t="s">
        <v>689</v>
      </c>
      <c r="Q96" s="9" t="s">
        <v>63</v>
      </c>
      <c r="R96" s="9" t="n">
        <v>7</v>
      </c>
      <c r="S96" s="5" t="s">
        <v>690</v>
      </c>
    </row>
    <row r="97" customFormat="false" ht="15" hidden="false" customHeight="false" outlineLevel="0" collapsed="false">
      <c r="A97" s="9" t="s">
        <v>691</v>
      </c>
      <c r="B97" s="5" t="s">
        <v>692</v>
      </c>
      <c r="C97" s="9" t="s">
        <v>692</v>
      </c>
      <c r="D97" s="9" t="s">
        <v>92</v>
      </c>
      <c r="E97" s="10" t="s">
        <v>693</v>
      </c>
      <c r="F97" s="9" t="s">
        <v>121</v>
      </c>
      <c r="G97" s="9" t="s">
        <v>121</v>
      </c>
      <c r="H97" s="9" t="s">
        <v>51</v>
      </c>
      <c r="I97" s="5" t="s">
        <v>53</v>
      </c>
      <c r="J97" s="9" t="n">
        <v>1</v>
      </c>
      <c r="K97" s="9" t="s">
        <v>106</v>
      </c>
      <c r="L97" s="9"/>
      <c r="M97" s="9"/>
      <c r="N97" s="9"/>
      <c r="O97" s="9"/>
      <c r="P97" s="9"/>
      <c r="Q97" s="9" t="s">
        <v>64</v>
      </c>
      <c r="R97" s="9" t="n">
        <v>1</v>
      </c>
      <c r="S97" s="9" t="s">
        <v>694</v>
      </c>
    </row>
    <row r="98" customFormat="false" ht="15" hidden="false" customHeight="false" outlineLevel="0" collapsed="false">
      <c r="A98" s="9" t="s">
        <v>695</v>
      </c>
      <c r="B98" s="5" t="s">
        <v>696</v>
      </c>
      <c r="C98" s="9" t="s">
        <v>697</v>
      </c>
      <c r="D98" s="9" t="s">
        <v>92</v>
      </c>
      <c r="E98" s="9"/>
      <c r="F98" s="9" t="s">
        <v>698</v>
      </c>
      <c r="G98" s="9" t="s">
        <v>134</v>
      </c>
      <c r="H98" s="9" t="s">
        <v>51</v>
      </c>
      <c r="I98" s="5" t="s">
        <v>53</v>
      </c>
      <c r="J98" s="9" t="n">
        <v>1</v>
      </c>
      <c r="K98" s="9" t="s">
        <v>114</v>
      </c>
      <c r="L98" s="9" t="s">
        <v>699</v>
      </c>
      <c r="M98" s="9"/>
      <c r="N98" s="9"/>
      <c r="O98" s="9"/>
      <c r="P98" s="9" t="s">
        <v>700</v>
      </c>
      <c r="Q98" s="9" t="s">
        <v>63</v>
      </c>
      <c r="R98" s="9" t="n">
        <v>4</v>
      </c>
      <c r="S98" s="5" t="s">
        <v>701</v>
      </c>
    </row>
  </sheetData>
  <hyperlinks>
    <hyperlink ref="E3" r:id="rId1" display="https://www.amcor.com"/>
    <hyperlink ref="E5" r:id="rId2" display="https://aptar.com"/>
    <hyperlink ref="E6" r:id="rId3" display="https://www.aptar.com"/>
    <hyperlink ref="E7" r:id="rId4" display="https://www.adm.com"/>
    <hyperlink ref="E9" r:id="rId5" display="https://www.avantorsciences.com"/>
    <hyperlink ref="E10" r:id="rId6" display="https://bericap.com"/>
    <hyperlink ref="E11" r:id="rId7" display="https://bericap.com"/>
    <hyperlink ref="E12" r:id="rId8" display="https://berlinpackaging.eu"/>
    <hyperlink ref="E13" r:id="rId9" display="https://www.berryglobal.com"/>
    <hyperlink ref="E14" r:id="rId10" display="https://www.biesterfeld.com"/>
    <hyperlink ref="E15" r:id="rId11" display="https://www.cargill.com/pharmaceutical/pharma-products/glucose-monohydrates-dextrose"/>
    <hyperlink ref="E16" r:id="rId12" display="https://www.cargill.com"/>
    <hyperlink ref="E17" r:id="rId13" display="https://www.chemcogroup.com"/>
    <hyperlink ref="E21" r:id="rId14" display="https://cflex.com"/>
    <hyperlink ref="E22" r:id="rId15" display="https://www.cosmos.com.mx"/>
    <hyperlink ref="E23" r:id="rId16" display="https://m.indiamart.com/crystal-poly/"/>
    <hyperlink ref="E27" r:id="rId17" display="https://eicl.in"/>
    <hyperlink ref="E28" r:id="rId18" display="https://elchemy.com/"/>
    <hyperlink ref="E29" r:id="rId19" display="https://www.esterindustries.com"/>
    <hyperlink ref="E31" r:id="rId20" display="https://www.garwarehitechfilms.com"/>
    <hyperlink ref="E32" r:id="rId21" display="https://www.gerresheimer.com"/>
    <hyperlink ref="E34" r:id="rId22" display="https://www.gualaclosures.com"/>
    <hyperlink ref="E35" r:id="rId23" display="https://www.ambujagroup.com/"/>
    <hyperlink ref="E38" r:id="rId24" display="https://www.hawkinsinc.com"/>
    <hyperlink ref="E40" r:id="rId25" display="https://www.huhtamaki.com/en/flexible-packaging/about-us/india/"/>
    <hyperlink ref="E42" r:id="rId26" display="https://www.ingredion.com"/>
    <hyperlink ref="E44" r:id="rId27" display="https://www.indoramaventures.com/en/worldwide/2001/ivl-dhunseri-petrochem-industries-private-limited"/>
    <hyperlink ref="E45" r:id="rId28" display="https://www.jaysomnathstarch.in/"/>
    <hyperlink ref="E46" r:id="rId29" display="https://www.jindalpoly.com"/>
    <hyperlink ref="E47" r:id="rId30" display="https://www.kwk.at"/>
    <hyperlink ref="E48" r:id="rId31" display="https://www.laballey.com"/>
    <hyperlink ref="E49" r:id="rId32" display="https://www.manjushreeindia.com"/>
    <hyperlink ref="E50" r:id="rId33" display="https://m.indiamart.com/markpack"/>
    <hyperlink ref="E52" r:id="rId34" display="https://www.monarchchemicals.co.uk"/>
    <hyperlink ref="E53" r:id="rId35" display="https://www.nafed-india.com"/>
    <hyperlink ref="E54" r:id="rId36" display="https://nccf-india.com"/>
    <hyperlink ref="E55" r:id="rId37" display="https://m.indiamart.com/nishantmouldings"/>
    <hyperlink ref="E56" r:id="rId38" display="https://www.nordmann.global"/>
    <hyperlink ref="E58" r:id="rId39" display="https://parleagro.com/"/>
    <hyperlink ref="E59" r:id="rId40" display="https://pciplindia.com/"/>
    <hyperlink ref="E61" r:id="rId41" display="https://www.petainer.com"/>
    <hyperlink ref="E62" r:id="rId42" display="https://www.polyplex.com"/>
    <hyperlink ref="E64" r:id="rId43" display="https://www.pranavplasticsindia.com"/>
    <hyperlink ref="E66" r:id="rId44" display="https://www.quadragroup.store"/>
    <hyperlink ref="E69" r:id="rId45" display="https://www.ramshreechemicals.in/"/>
    <hyperlink ref="E70" r:id="rId46" display="https://regaalresources.com/"/>
    <hyperlink ref="E71" r:id="rId47" display="https://www.ril.com"/>
    <hyperlink ref="E72" r:id="rId48" display="https://riddhisiddhi.co.in/"/>
    <hyperlink ref="E73" r:id="rId49" display="https://www.roquette.com"/>
    <hyperlink ref="E74" r:id="rId50" display="https://www.roquette.com/"/>
    <hyperlink ref="E76" r:id="rId51" display="https://www.maizeproducts.com/"/>
    <hyperlink ref="E79" r:id="rId52" display="https://www.shethpet.in"/>
    <hyperlink ref="E80" r:id="rId53" display="https://m.indiamart.com/sibi-polymers/"/>
    <hyperlink ref="E81" r:id="rId54" display="https://silgandispensing.com"/>
    <hyperlink ref="E82" r:id="rId55" display="https://m.indiamart.com/sonapetindustries"/>
    <hyperlink ref="E83" r:id="rId56" display="https://www.srf.com"/>
    <hyperlink ref="E84" r:id="rId57" display="https://www.srf.com"/>
    <hyperlink ref="E85" r:id="rId58" display="https://www.srf.com"/>
    <hyperlink ref="E87" r:id="rId59" display="https://tekni-plex.com"/>
    <hyperlink ref="E89" r:id="rId60" display="https://www.tereos.com"/>
    <hyperlink ref="E90" r:id="rId61" display="https://www.sukhjitgroup.com/"/>
    <hyperlink ref="E91" r:id="rId62" display="https://www.tianjiachem.com"/>
    <hyperlink ref="E92" r:id="rId63" display="https://www.tilleydistributionproducts.com"/>
    <hyperlink ref="E94" r:id="rId64" display="https://www.uflexltd.com"/>
    <hyperlink ref="E95" r:id="rId65" display="https://www.universalstarch.com/"/>
    <hyperlink ref="E97" r:id="rId66" display="https://www.xenexlab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6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7" min="6" style="0" width="5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26"/>
    <col collapsed="false" customWidth="true" hidden="false" outlineLevel="0" max="14" min="14" style="0" width="12"/>
    <col collapsed="false" customWidth="true" hidden="false" outlineLevel="0" max="16" min="15" style="0" width="30"/>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1" min="20" style="0" width="28"/>
    <col collapsed="false" customWidth="true" hidden="false" outlineLevel="0" max="22" min="22" style="0" width="55"/>
    <col collapsed="false" customWidth="true" hidden="false" outlineLevel="0" max="23" min="23" style="0" width="11"/>
    <col collapsed="false" customWidth="true" hidden="false" outlineLevel="0" max="24" min="24" style="0" width="26"/>
    <col collapsed="false" customWidth="true" hidden="false" outlineLevel="0" max="25" min="25" style="0" width="9"/>
    <col collapsed="false" customWidth="true" hidden="false" outlineLevel="0" max="26" min="26" style="0" width="60"/>
  </cols>
  <sheetData>
    <row r="1" customFormat="false" ht="15" hidden="false" customHeight="false" outlineLevel="0" collapsed="false">
      <c r="A1" s="7" t="s">
        <v>702</v>
      </c>
    </row>
    <row r="2" customFormat="false" ht="31.5" hidden="false" customHeight="true" outlineLevel="0" collapsed="false">
      <c r="A2" s="6" t="s">
        <v>72</v>
      </c>
      <c r="B2" s="6" t="s">
        <v>73</v>
      </c>
      <c r="C2" s="6" t="s">
        <v>74</v>
      </c>
      <c r="D2" s="6" t="s">
        <v>30</v>
      </c>
      <c r="E2" s="6" t="s">
        <v>703</v>
      </c>
      <c r="F2" s="6" t="s">
        <v>704</v>
      </c>
      <c r="G2" s="6" t="s">
        <v>705</v>
      </c>
      <c r="H2" s="6" t="s">
        <v>706</v>
      </c>
      <c r="I2" s="6" t="s">
        <v>707</v>
      </c>
      <c r="J2" s="6" t="s">
        <v>708</v>
      </c>
      <c r="K2" s="6" t="s">
        <v>34</v>
      </c>
      <c r="L2" s="6" t="s">
        <v>78</v>
      </c>
      <c r="M2" s="6" t="s">
        <v>76</v>
      </c>
      <c r="N2" s="6" t="s">
        <v>77</v>
      </c>
      <c r="O2" s="6" t="s">
        <v>709</v>
      </c>
      <c r="P2" s="6" t="s">
        <v>75</v>
      </c>
      <c r="Q2" s="6" t="s">
        <v>86</v>
      </c>
      <c r="R2" s="6" t="s">
        <v>83</v>
      </c>
      <c r="S2" s="6" t="s">
        <v>84</v>
      </c>
      <c r="T2" s="6" t="s">
        <v>82</v>
      </c>
      <c r="U2" s="6" t="s">
        <v>85</v>
      </c>
      <c r="V2" s="6" t="s">
        <v>710</v>
      </c>
      <c r="W2" s="6" t="s">
        <v>32</v>
      </c>
      <c r="X2" s="6" t="s">
        <v>711</v>
      </c>
      <c r="Y2" s="6" t="s">
        <v>88</v>
      </c>
      <c r="Z2" s="6" t="s">
        <v>14</v>
      </c>
    </row>
    <row r="3" customFormat="false" ht="91" hidden="false" customHeight="false" outlineLevel="0" collapsed="false">
      <c r="A3" s="9" t="s">
        <v>552</v>
      </c>
      <c r="B3" s="5" t="s">
        <v>553</v>
      </c>
      <c r="C3" s="9" t="s">
        <v>712</v>
      </c>
      <c r="D3" s="9" t="s">
        <v>92</v>
      </c>
      <c r="E3" s="9" t="s">
        <v>713</v>
      </c>
      <c r="F3" s="5" t="s">
        <v>714</v>
      </c>
      <c r="G3" s="5" t="s">
        <v>715</v>
      </c>
      <c r="H3" s="9" t="s">
        <v>716</v>
      </c>
      <c r="I3" s="9" t="s">
        <v>717</v>
      </c>
      <c r="J3" s="9" t="s">
        <v>718</v>
      </c>
      <c r="K3" s="9" t="s">
        <v>65</v>
      </c>
      <c r="L3" s="9" t="s">
        <v>50</v>
      </c>
      <c r="M3" s="9" t="s">
        <v>93</v>
      </c>
      <c r="N3" s="9" t="s">
        <v>93</v>
      </c>
      <c r="O3" s="9" t="s">
        <v>719</v>
      </c>
      <c r="P3" s="10" t="s">
        <v>555</v>
      </c>
      <c r="Q3" s="9"/>
      <c r="R3" s="9"/>
      <c r="S3" s="9"/>
      <c r="T3" s="9" t="s">
        <v>720</v>
      </c>
      <c r="U3" s="9"/>
      <c r="V3" s="5" t="s">
        <v>721</v>
      </c>
      <c r="W3" s="9" t="s">
        <v>63</v>
      </c>
      <c r="X3" s="9" t="s">
        <v>54</v>
      </c>
      <c r="Y3" s="9" t="n">
        <v>8</v>
      </c>
      <c r="Z3" s="5" t="s">
        <v>722</v>
      </c>
    </row>
    <row r="4" customFormat="false" ht="35.05" hidden="false" customHeight="false" outlineLevel="0" collapsed="false">
      <c r="A4" s="9" t="s">
        <v>351</v>
      </c>
      <c r="B4" s="5" t="s">
        <v>352</v>
      </c>
      <c r="C4" s="9" t="s">
        <v>353</v>
      </c>
      <c r="D4" s="9" t="s">
        <v>92</v>
      </c>
      <c r="E4" s="9" t="s">
        <v>713</v>
      </c>
      <c r="F4" s="5" t="s">
        <v>723</v>
      </c>
      <c r="G4" s="5" t="s">
        <v>724</v>
      </c>
      <c r="H4" s="9"/>
      <c r="I4" s="9" t="s">
        <v>114</v>
      </c>
      <c r="J4" s="9" t="s">
        <v>725</v>
      </c>
      <c r="K4" s="9" t="s">
        <v>65</v>
      </c>
      <c r="L4" s="9" t="s">
        <v>51</v>
      </c>
      <c r="M4" s="9" t="s">
        <v>355</v>
      </c>
      <c r="N4" s="9" t="s">
        <v>121</v>
      </c>
      <c r="O4" s="9"/>
      <c r="P4" s="10" t="s">
        <v>354</v>
      </c>
      <c r="Q4" s="9" t="s">
        <v>238</v>
      </c>
      <c r="R4" s="9"/>
      <c r="S4" s="9"/>
      <c r="T4" s="9" t="s">
        <v>356</v>
      </c>
      <c r="U4" s="9"/>
      <c r="V4" s="5" t="s">
        <v>726</v>
      </c>
      <c r="W4" s="9" t="s">
        <v>62</v>
      </c>
      <c r="X4" s="9"/>
      <c r="Y4" s="9" t="n">
        <v>3</v>
      </c>
      <c r="Z4" s="5" t="s">
        <v>357</v>
      </c>
    </row>
    <row r="5" customFormat="false" ht="68.65" hidden="false" customHeight="false" outlineLevel="0" collapsed="false">
      <c r="A5" s="9" t="s">
        <v>543</v>
      </c>
      <c r="B5" s="5" t="s">
        <v>544</v>
      </c>
      <c r="C5" s="9" t="s">
        <v>545</v>
      </c>
      <c r="D5" s="9" t="s">
        <v>92</v>
      </c>
      <c r="E5" s="9" t="s">
        <v>713</v>
      </c>
      <c r="F5" s="5" t="s">
        <v>727</v>
      </c>
      <c r="G5" s="5" t="s">
        <v>728</v>
      </c>
      <c r="H5" s="9"/>
      <c r="I5" s="9" t="s">
        <v>114</v>
      </c>
      <c r="J5" s="9" t="s">
        <v>729</v>
      </c>
      <c r="K5" s="9" t="s">
        <v>65</v>
      </c>
      <c r="L5" s="9" t="s">
        <v>51</v>
      </c>
      <c r="M5" s="9" t="s">
        <v>547</v>
      </c>
      <c r="N5" s="9" t="s">
        <v>548</v>
      </c>
      <c r="O5" s="9" t="s">
        <v>730</v>
      </c>
      <c r="P5" s="10" t="s">
        <v>546</v>
      </c>
      <c r="Q5" s="9" t="s">
        <v>550</v>
      </c>
      <c r="R5" s="9"/>
      <c r="S5" s="9"/>
      <c r="T5" s="9" t="s">
        <v>549</v>
      </c>
      <c r="U5" s="9"/>
      <c r="V5" s="5" t="s">
        <v>731</v>
      </c>
      <c r="W5" s="9" t="s">
        <v>62</v>
      </c>
      <c r="X5" s="9"/>
      <c r="Y5" s="9" t="n">
        <v>5</v>
      </c>
      <c r="Z5" s="5" t="s">
        <v>551</v>
      </c>
    </row>
    <row r="6" customFormat="false" ht="46.25" hidden="false" customHeight="false" outlineLevel="0" collapsed="false">
      <c r="A6" s="9" t="s">
        <v>179</v>
      </c>
      <c r="B6" s="5" t="s">
        <v>180</v>
      </c>
      <c r="C6" s="9" t="s">
        <v>181</v>
      </c>
      <c r="D6" s="9" t="s">
        <v>92</v>
      </c>
      <c r="E6" s="9" t="s">
        <v>713</v>
      </c>
      <c r="F6" s="5" t="s">
        <v>732</v>
      </c>
      <c r="G6" s="5" t="s">
        <v>733</v>
      </c>
      <c r="H6" s="9"/>
      <c r="I6" s="9" t="s">
        <v>114</v>
      </c>
      <c r="J6" s="9" t="s">
        <v>734</v>
      </c>
      <c r="K6" s="9" t="s">
        <v>65</v>
      </c>
      <c r="L6" s="9" t="s">
        <v>51</v>
      </c>
      <c r="M6" s="9" t="s">
        <v>183</v>
      </c>
      <c r="N6" s="9" t="s">
        <v>183</v>
      </c>
      <c r="O6" s="9"/>
      <c r="P6" s="10" t="s">
        <v>182</v>
      </c>
      <c r="Q6" s="9" t="s">
        <v>185</v>
      </c>
      <c r="R6" s="9"/>
      <c r="S6" s="9"/>
      <c r="T6" s="9" t="s">
        <v>184</v>
      </c>
      <c r="U6" s="9"/>
      <c r="V6" s="5" t="s">
        <v>735</v>
      </c>
      <c r="W6" s="9" t="s">
        <v>63</v>
      </c>
      <c r="X6" s="9"/>
      <c r="Y6" s="9" t="n">
        <v>5</v>
      </c>
      <c r="Z6" s="5" t="s">
        <v>186</v>
      </c>
    </row>
    <row r="7" customFormat="false" ht="23.85" hidden="false" customHeight="false" outlineLevel="0" collapsed="false">
      <c r="A7" s="9" t="s">
        <v>233</v>
      </c>
      <c r="B7" s="5" t="s">
        <v>234</v>
      </c>
      <c r="C7" s="9" t="s">
        <v>235</v>
      </c>
      <c r="D7" s="9" t="s">
        <v>92</v>
      </c>
      <c r="E7" s="9" t="s">
        <v>713</v>
      </c>
      <c r="F7" s="5" t="s">
        <v>736</v>
      </c>
      <c r="G7" s="5" t="s">
        <v>737</v>
      </c>
      <c r="H7" s="9"/>
      <c r="I7" s="9" t="s">
        <v>114</v>
      </c>
      <c r="J7" s="9" t="s">
        <v>734</v>
      </c>
      <c r="K7" s="9" t="s">
        <v>65</v>
      </c>
      <c r="L7" s="9" t="s">
        <v>51</v>
      </c>
      <c r="M7" s="9" t="s">
        <v>236</v>
      </c>
      <c r="N7" s="9" t="s">
        <v>134</v>
      </c>
      <c r="O7" s="9"/>
      <c r="P7" s="9"/>
      <c r="Q7" s="9" t="s">
        <v>238</v>
      </c>
      <c r="R7" s="9"/>
      <c r="S7" s="9"/>
      <c r="T7" s="9" t="s">
        <v>237</v>
      </c>
      <c r="U7" s="9"/>
      <c r="V7" s="5" t="s">
        <v>738</v>
      </c>
      <c r="W7" s="9" t="s">
        <v>63</v>
      </c>
      <c r="X7" s="9"/>
      <c r="Y7" s="9" t="n">
        <v>3</v>
      </c>
      <c r="Z7" s="5" t="s">
        <v>239</v>
      </c>
    </row>
    <row r="8" customFormat="false" ht="35.05" hidden="false" customHeight="false" outlineLevel="0" collapsed="false">
      <c r="A8" s="9" t="s">
        <v>572</v>
      </c>
      <c r="B8" s="5" t="s">
        <v>573</v>
      </c>
      <c r="C8" s="9" t="s">
        <v>574</v>
      </c>
      <c r="D8" s="9" t="s">
        <v>92</v>
      </c>
      <c r="E8" s="9" t="s">
        <v>713</v>
      </c>
      <c r="F8" s="5" t="s">
        <v>736</v>
      </c>
      <c r="G8" s="5" t="s">
        <v>739</v>
      </c>
      <c r="H8" s="9"/>
      <c r="I8" s="9" t="s">
        <v>114</v>
      </c>
      <c r="J8" s="9" t="s">
        <v>734</v>
      </c>
      <c r="K8" s="9" t="s">
        <v>65</v>
      </c>
      <c r="L8" s="9" t="s">
        <v>51</v>
      </c>
      <c r="M8" s="9" t="s">
        <v>575</v>
      </c>
      <c r="N8" s="9" t="s">
        <v>134</v>
      </c>
      <c r="O8" s="9"/>
      <c r="P8" s="9"/>
      <c r="Q8" s="9" t="s">
        <v>238</v>
      </c>
      <c r="R8" s="9"/>
      <c r="S8" s="9"/>
      <c r="T8" s="9"/>
      <c r="U8" s="9"/>
      <c r="V8" s="5" t="s">
        <v>740</v>
      </c>
      <c r="W8" s="9" t="s">
        <v>63</v>
      </c>
      <c r="X8" s="9"/>
      <c r="Y8" s="9" t="n">
        <v>3</v>
      </c>
      <c r="Z8" s="5" t="s">
        <v>576</v>
      </c>
    </row>
    <row r="9" customFormat="false" ht="35.05" hidden="false" customHeight="false" outlineLevel="0" collapsed="false">
      <c r="A9" s="9" t="s">
        <v>633</v>
      </c>
      <c r="B9" s="5" t="s">
        <v>634</v>
      </c>
      <c r="C9" s="9" t="s">
        <v>635</v>
      </c>
      <c r="D9" s="9" t="s">
        <v>92</v>
      </c>
      <c r="E9" s="9" t="s">
        <v>713</v>
      </c>
      <c r="F9" s="5" t="s">
        <v>741</v>
      </c>
      <c r="G9" s="5" t="s">
        <v>742</v>
      </c>
      <c r="H9" s="9"/>
      <c r="I9" s="9" t="s">
        <v>114</v>
      </c>
      <c r="J9" s="9" t="s">
        <v>725</v>
      </c>
      <c r="K9" s="9" t="s">
        <v>65</v>
      </c>
      <c r="L9" s="9" t="s">
        <v>51</v>
      </c>
      <c r="M9" s="9" t="s">
        <v>548</v>
      </c>
      <c r="N9" s="9" t="s">
        <v>548</v>
      </c>
      <c r="O9" s="9"/>
      <c r="P9" s="10" t="s">
        <v>636</v>
      </c>
      <c r="Q9" s="9" t="s">
        <v>637</v>
      </c>
      <c r="R9" s="9"/>
      <c r="S9" s="9"/>
      <c r="T9" s="9"/>
      <c r="U9" s="9"/>
      <c r="V9" s="5" t="s">
        <v>743</v>
      </c>
      <c r="W9" s="9" t="s">
        <v>63</v>
      </c>
      <c r="X9" s="9"/>
      <c r="Y9" s="9" t="n">
        <v>3</v>
      </c>
      <c r="Z9" s="5" t="s">
        <v>638</v>
      </c>
    </row>
    <row r="10" customFormat="false" ht="79.85" hidden="false" customHeight="false" outlineLevel="0" collapsed="false">
      <c r="A10" s="9" t="s">
        <v>684</v>
      </c>
      <c r="B10" s="5" t="s">
        <v>685</v>
      </c>
      <c r="C10" s="9" t="s">
        <v>686</v>
      </c>
      <c r="D10" s="9" t="s">
        <v>92</v>
      </c>
      <c r="E10" s="9" t="s">
        <v>713</v>
      </c>
      <c r="F10" s="5" t="s">
        <v>744</v>
      </c>
      <c r="G10" s="5" t="s">
        <v>745</v>
      </c>
      <c r="H10" s="9" t="s">
        <v>746</v>
      </c>
      <c r="I10" s="9" t="s">
        <v>114</v>
      </c>
      <c r="J10" s="9" t="s">
        <v>725</v>
      </c>
      <c r="K10" s="9" t="s">
        <v>65</v>
      </c>
      <c r="L10" s="9" t="s">
        <v>51</v>
      </c>
      <c r="M10" s="9" t="s">
        <v>687</v>
      </c>
      <c r="N10" s="9" t="s">
        <v>134</v>
      </c>
      <c r="O10" s="9"/>
      <c r="P10" s="9"/>
      <c r="Q10" s="9" t="s">
        <v>689</v>
      </c>
      <c r="R10" s="9"/>
      <c r="S10" s="9"/>
      <c r="T10" s="9" t="s">
        <v>688</v>
      </c>
      <c r="U10" s="9"/>
      <c r="V10" s="5" t="s">
        <v>747</v>
      </c>
      <c r="W10" s="9" t="s">
        <v>63</v>
      </c>
      <c r="X10" s="9"/>
      <c r="Y10" s="9" t="n">
        <v>7</v>
      </c>
      <c r="Z10" s="5" t="s">
        <v>690</v>
      </c>
    </row>
    <row r="11" customFormat="false" ht="46.25" hidden="false" customHeight="false" outlineLevel="0" collapsed="false">
      <c r="A11" s="9" t="s">
        <v>695</v>
      </c>
      <c r="B11" s="5" t="s">
        <v>696</v>
      </c>
      <c r="C11" s="9" t="s">
        <v>697</v>
      </c>
      <c r="D11" s="9" t="s">
        <v>92</v>
      </c>
      <c r="E11" s="9" t="s">
        <v>713</v>
      </c>
      <c r="F11" s="5" t="s">
        <v>748</v>
      </c>
      <c r="G11" s="5" t="s">
        <v>749</v>
      </c>
      <c r="H11" s="9"/>
      <c r="I11" s="9" t="s">
        <v>114</v>
      </c>
      <c r="J11" s="9" t="s">
        <v>734</v>
      </c>
      <c r="K11" s="9" t="s">
        <v>65</v>
      </c>
      <c r="L11" s="9" t="s">
        <v>51</v>
      </c>
      <c r="M11" s="9" t="s">
        <v>698</v>
      </c>
      <c r="N11" s="9" t="s">
        <v>134</v>
      </c>
      <c r="O11" s="9"/>
      <c r="P11" s="9"/>
      <c r="Q11" s="9" t="s">
        <v>700</v>
      </c>
      <c r="R11" s="9"/>
      <c r="S11" s="9"/>
      <c r="T11" s="9" t="s">
        <v>699</v>
      </c>
      <c r="U11" s="9"/>
      <c r="V11" s="5" t="s">
        <v>750</v>
      </c>
      <c r="W11" s="9" t="s">
        <v>63</v>
      </c>
      <c r="X11" s="9"/>
      <c r="Y11" s="9" t="n">
        <v>4</v>
      </c>
      <c r="Z11" s="5" t="s">
        <v>701</v>
      </c>
    </row>
    <row r="12" customFormat="false" ht="35.05" hidden="false" customHeight="false" outlineLevel="0" collapsed="false">
      <c r="A12" s="9" t="s">
        <v>187</v>
      </c>
      <c r="B12" s="5" t="s">
        <v>188</v>
      </c>
      <c r="C12" s="9" t="s">
        <v>189</v>
      </c>
      <c r="D12" s="9" t="s">
        <v>92</v>
      </c>
      <c r="E12" s="9" t="s">
        <v>751</v>
      </c>
      <c r="F12" s="5" t="s">
        <v>752</v>
      </c>
      <c r="G12" s="5" t="s">
        <v>753</v>
      </c>
      <c r="H12" s="9"/>
      <c r="I12" s="9" t="s">
        <v>114</v>
      </c>
      <c r="J12" s="9" t="s">
        <v>754</v>
      </c>
      <c r="K12" s="9" t="s">
        <v>65</v>
      </c>
      <c r="L12" s="9" t="s">
        <v>51</v>
      </c>
      <c r="M12" s="9" t="s">
        <v>191</v>
      </c>
      <c r="N12" s="9" t="s">
        <v>121</v>
      </c>
      <c r="O12" s="9"/>
      <c r="P12" s="10" t="s">
        <v>190</v>
      </c>
      <c r="Q12" s="9"/>
      <c r="R12" s="9"/>
      <c r="S12" s="9"/>
      <c r="T12" s="9" t="s">
        <v>192</v>
      </c>
      <c r="U12" s="9"/>
      <c r="V12" s="5" t="s">
        <v>755</v>
      </c>
      <c r="W12" s="9" t="s">
        <v>63</v>
      </c>
      <c r="X12" s="9"/>
      <c r="Y12" s="9" t="n">
        <v>2</v>
      </c>
      <c r="Z12" s="5" t="s">
        <v>193</v>
      </c>
    </row>
    <row r="13" customFormat="false" ht="46.25" hidden="false" customHeight="false" outlineLevel="0" collapsed="false">
      <c r="A13" s="9" t="s">
        <v>301</v>
      </c>
      <c r="B13" s="5" t="s">
        <v>302</v>
      </c>
      <c r="C13" s="9" t="s">
        <v>303</v>
      </c>
      <c r="D13" s="9" t="s">
        <v>156</v>
      </c>
      <c r="E13" s="9" t="s">
        <v>756</v>
      </c>
      <c r="F13" s="5" t="s">
        <v>757</v>
      </c>
      <c r="G13" s="5" t="s">
        <v>758</v>
      </c>
      <c r="H13" s="9" t="s">
        <v>759</v>
      </c>
      <c r="I13" s="9" t="s">
        <v>760</v>
      </c>
      <c r="J13" s="9" t="s">
        <v>761</v>
      </c>
      <c r="K13" s="9" t="s">
        <v>65</v>
      </c>
      <c r="L13" s="9" t="s">
        <v>44</v>
      </c>
      <c r="M13" s="9" t="s">
        <v>219</v>
      </c>
      <c r="N13" s="9" t="s">
        <v>93</v>
      </c>
      <c r="O13" s="9" t="s">
        <v>762</v>
      </c>
      <c r="P13" s="10" t="s">
        <v>304</v>
      </c>
      <c r="Q13" s="9" t="s">
        <v>310</v>
      </c>
      <c r="R13" s="9"/>
      <c r="S13" s="9"/>
      <c r="T13" s="9" t="s">
        <v>763</v>
      </c>
      <c r="U13" s="9"/>
      <c r="V13" s="5" t="s">
        <v>764</v>
      </c>
      <c r="W13" s="9" t="s">
        <v>62</v>
      </c>
      <c r="X13" s="9" t="s">
        <v>54</v>
      </c>
      <c r="Y13" s="9" t="n">
        <v>5</v>
      </c>
      <c r="Z13" s="5" t="s">
        <v>765</v>
      </c>
    </row>
    <row r="14" customFormat="false" ht="57.45" hidden="false" customHeight="false" outlineLevel="0" collapsed="false">
      <c r="A14" s="9" t="s">
        <v>564</v>
      </c>
      <c r="B14" s="5" t="s">
        <v>565</v>
      </c>
      <c r="C14" s="9" t="s">
        <v>766</v>
      </c>
      <c r="D14" s="9" t="s">
        <v>156</v>
      </c>
      <c r="E14" s="9" t="s">
        <v>756</v>
      </c>
      <c r="F14" s="5" t="s">
        <v>767</v>
      </c>
      <c r="G14" s="5" t="s">
        <v>768</v>
      </c>
      <c r="H14" s="9" t="s">
        <v>769</v>
      </c>
      <c r="I14" s="9" t="s">
        <v>760</v>
      </c>
      <c r="J14" s="9" t="s">
        <v>770</v>
      </c>
      <c r="K14" s="9" t="s">
        <v>65</v>
      </c>
      <c r="L14" s="9" t="s">
        <v>44</v>
      </c>
      <c r="M14" s="9" t="s">
        <v>219</v>
      </c>
      <c r="N14" s="9" t="s">
        <v>93</v>
      </c>
      <c r="O14" s="9" t="s">
        <v>771</v>
      </c>
      <c r="P14" s="10" t="s">
        <v>567</v>
      </c>
      <c r="Q14" s="9"/>
      <c r="R14" s="9" t="s">
        <v>569</v>
      </c>
      <c r="S14" s="9"/>
      <c r="T14" s="9" t="s">
        <v>772</v>
      </c>
      <c r="U14" s="9"/>
      <c r="V14" s="5" t="s">
        <v>773</v>
      </c>
      <c r="W14" s="9" t="s">
        <v>63</v>
      </c>
      <c r="X14" s="9" t="s">
        <v>54</v>
      </c>
      <c r="Y14" s="9" t="n">
        <v>3</v>
      </c>
      <c r="Z14" s="5" t="s">
        <v>774</v>
      </c>
    </row>
    <row r="15" customFormat="false" ht="46.25" hidden="false" customHeight="false" outlineLevel="0" collapsed="false">
      <c r="A15" s="9" t="s">
        <v>675</v>
      </c>
      <c r="B15" s="5" t="s">
        <v>676</v>
      </c>
      <c r="C15" s="9"/>
      <c r="D15" s="9" t="s">
        <v>156</v>
      </c>
      <c r="E15" s="9" t="s">
        <v>756</v>
      </c>
      <c r="F15" s="5" t="s">
        <v>775</v>
      </c>
      <c r="G15" s="5" t="s">
        <v>776</v>
      </c>
      <c r="H15" s="9" t="s">
        <v>777</v>
      </c>
      <c r="I15" s="9" t="s">
        <v>778</v>
      </c>
      <c r="J15" s="9" t="s">
        <v>779</v>
      </c>
      <c r="K15" s="9" t="s">
        <v>65</v>
      </c>
      <c r="L15" s="9" t="s">
        <v>44</v>
      </c>
      <c r="M15" s="9" t="s">
        <v>780</v>
      </c>
      <c r="N15" s="9" t="s">
        <v>93</v>
      </c>
      <c r="O15" s="9" t="s">
        <v>781</v>
      </c>
      <c r="P15" s="9"/>
      <c r="Q15" s="9" t="s">
        <v>682</v>
      </c>
      <c r="R15" s="9"/>
      <c r="S15" s="9"/>
      <c r="T15" s="9" t="s">
        <v>782</v>
      </c>
      <c r="U15" s="9"/>
      <c r="V15" s="5" t="s">
        <v>783</v>
      </c>
      <c r="W15" s="9" t="s">
        <v>63</v>
      </c>
      <c r="X15" s="9" t="s">
        <v>54</v>
      </c>
      <c r="Y15" s="9" t="n">
        <v>3</v>
      </c>
      <c r="Z15" s="5" t="s">
        <v>784</v>
      </c>
    </row>
    <row r="16" customFormat="false" ht="57.45" hidden="false" customHeight="false" outlineLevel="0" collapsed="false">
      <c r="A16" s="9" t="s">
        <v>368</v>
      </c>
      <c r="B16" s="5" t="s">
        <v>369</v>
      </c>
      <c r="C16" s="9"/>
      <c r="D16" s="9" t="s">
        <v>156</v>
      </c>
      <c r="E16" s="9" t="s">
        <v>756</v>
      </c>
      <c r="F16" s="5" t="s">
        <v>785</v>
      </c>
      <c r="G16" s="5" t="s">
        <v>786</v>
      </c>
      <c r="H16" s="9"/>
      <c r="I16" s="9" t="s">
        <v>372</v>
      </c>
      <c r="J16" s="9"/>
      <c r="K16" s="9" t="s">
        <v>65</v>
      </c>
      <c r="L16" s="9" t="s">
        <v>44</v>
      </c>
      <c r="M16" s="9" t="s">
        <v>371</v>
      </c>
      <c r="N16" s="9" t="s">
        <v>93</v>
      </c>
      <c r="O16" s="9" t="s">
        <v>787</v>
      </c>
      <c r="P16" s="10" t="s">
        <v>370</v>
      </c>
      <c r="Q16" s="9"/>
      <c r="R16" s="9"/>
      <c r="S16" s="9"/>
      <c r="T16" s="9" t="s">
        <v>373</v>
      </c>
      <c r="U16" s="9"/>
      <c r="V16" s="5" t="s">
        <v>788</v>
      </c>
      <c r="W16" s="9" t="s">
        <v>64</v>
      </c>
      <c r="X16" s="9"/>
      <c r="Y16" s="9" t="n">
        <v>3</v>
      </c>
      <c r="Z16" s="5" t="s">
        <v>374</v>
      </c>
    </row>
    <row r="17" customFormat="false" ht="23.85" hidden="false" customHeight="false" outlineLevel="0" collapsed="false">
      <c r="A17" s="9" t="s">
        <v>124</v>
      </c>
      <c r="B17" s="5" t="s">
        <v>125</v>
      </c>
      <c r="C17" s="9" t="s">
        <v>126</v>
      </c>
      <c r="D17" s="9" t="s">
        <v>92</v>
      </c>
      <c r="E17" s="9" t="s">
        <v>756</v>
      </c>
      <c r="F17" s="5" t="s">
        <v>789</v>
      </c>
      <c r="G17" s="5" t="s">
        <v>790</v>
      </c>
      <c r="H17" s="9"/>
      <c r="I17" s="9" t="s">
        <v>114</v>
      </c>
      <c r="J17" s="9" t="s">
        <v>791</v>
      </c>
      <c r="K17" s="9" t="s">
        <v>65</v>
      </c>
      <c r="L17" s="9" t="s">
        <v>51</v>
      </c>
      <c r="M17" s="9" t="s">
        <v>128</v>
      </c>
      <c r="N17" s="9" t="s">
        <v>121</v>
      </c>
      <c r="O17" s="9"/>
      <c r="P17" s="10" t="s">
        <v>127</v>
      </c>
      <c r="Q17" s="9"/>
      <c r="R17" s="9"/>
      <c r="S17" s="9"/>
      <c r="T17" s="9" t="s">
        <v>129</v>
      </c>
      <c r="U17" s="9"/>
      <c r="V17" s="5" t="s">
        <v>792</v>
      </c>
      <c r="W17" s="9" t="s">
        <v>63</v>
      </c>
      <c r="X17" s="9"/>
      <c r="Y17" s="9" t="n">
        <v>3</v>
      </c>
      <c r="Z17" s="5" t="s">
        <v>130</v>
      </c>
    </row>
    <row r="18" customFormat="false" ht="35.05" hidden="false" customHeight="false" outlineLevel="0" collapsed="false">
      <c r="A18" s="9" t="s">
        <v>512</v>
      </c>
      <c r="B18" s="5" t="s">
        <v>513</v>
      </c>
      <c r="C18" s="9"/>
      <c r="D18" s="9" t="s">
        <v>92</v>
      </c>
      <c r="E18" s="9" t="s">
        <v>756</v>
      </c>
      <c r="F18" s="5" t="s">
        <v>793</v>
      </c>
      <c r="G18" s="5" t="s">
        <v>794</v>
      </c>
      <c r="H18" s="9"/>
      <c r="I18" s="9" t="s">
        <v>516</v>
      </c>
      <c r="J18" s="9"/>
      <c r="K18" s="9" t="s">
        <v>67</v>
      </c>
      <c r="L18" s="9" t="s">
        <v>50</v>
      </c>
      <c r="M18" s="9" t="s">
        <v>515</v>
      </c>
      <c r="N18" s="9" t="s">
        <v>93</v>
      </c>
      <c r="O18" s="9"/>
      <c r="P18" s="10" t="s">
        <v>514</v>
      </c>
      <c r="Q18" s="9"/>
      <c r="R18" s="9"/>
      <c r="S18" s="9"/>
      <c r="T18" s="9"/>
      <c r="U18" s="9"/>
      <c r="V18" s="5" t="s">
        <v>795</v>
      </c>
      <c r="W18" s="9" t="s">
        <v>64</v>
      </c>
      <c r="X18" s="9"/>
      <c r="Y18" s="9" t="n">
        <v>1</v>
      </c>
      <c r="Z18" s="9" t="s">
        <v>517</v>
      </c>
    </row>
    <row r="19" customFormat="false" ht="35.05" hidden="false" customHeight="false" outlineLevel="0" collapsed="false">
      <c r="A19" s="9" t="s">
        <v>137</v>
      </c>
      <c r="B19" s="5" t="s">
        <v>138</v>
      </c>
      <c r="C19" s="9" t="s">
        <v>139</v>
      </c>
      <c r="D19" s="9" t="s">
        <v>92</v>
      </c>
      <c r="E19" s="9" t="s">
        <v>796</v>
      </c>
      <c r="F19" s="5" t="s">
        <v>797</v>
      </c>
      <c r="G19" s="5" t="s">
        <v>798</v>
      </c>
      <c r="H19" s="9"/>
      <c r="I19" s="9" t="s">
        <v>142</v>
      </c>
      <c r="J19" s="9" t="s">
        <v>799</v>
      </c>
      <c r="K19" s="9" t="s">
        <v>65</v>
      </c>
      <c r="L19" s="9" t="s">
        <v>51</v>
      </c>
      <c r="M19" s="9" t="s">
        <v>141</v>
      </c>
      <c r="N19" s="9" t="s">
        <v>121</v>
      </c>
      <c r="O19" s="9"/>
      <c r="P19" s="10" t="s">
        <v>140</v>
      </c>
      <c r="Q19" s="9"/>
      <c r="R19" s="9"/>
      <c r="S19" s="9"/>
      <c r="T19" s="9" t="s">
        <v>143</v>
      </c>
      <c r="U19" s="9"/>
      <c r="V19" s="5" t="s">
        <v>800</v>
      </c>
      <c r="W19" s="9" t="s">
        <v>63</v>
      </c>
      <c r="X19" s="9"/>
      <c r="Y19" s="9" t="n">
        <v>4</v>
      </c>
      <c r="Z19" s="5" t="s">
        <v>144</v>
      </c>
    </row>
    <row r="20" customFormat="false" ht="23.85" hidden="false" customHeight="false" outlineLevel="0" collapsed="false">
      <c r="A20" s="9" t="s">
        <v>173</v>
      </c>
      <c r="B20" s="5" t="s">
        <v>174</v>
      </c>
      <c r="C20" s="9" t="s">
        <v>175</v>
      </c>
      <c r="D20" s="9" t="s">
        <v>92</v>
      </c>
      <c r="E20" s="9" t="s">
        <v>796</v>
      </c>
      <c r="F20" s="5" t="s">
        <v>801</v>
      </c>
      <c r="G20" s="5" t="s">
        <v>802</v>
      </c>
      <c r="H20" s="9"/>
      <c r="I20" s="9" t="s">
        <v>106</v>
      </c>
      <c r="J20" s="9" t="s">
        <v>803</v>
      </c>
      <c r="K20" s="9" t="s">
        <v>65</v>
      </c>
      <c r="L20" s="9" t="s">
        <v>51</v>
      </c>
      <c r="M20" s="9" t="s">
        <v>177</v>
      </c>
      <c r="N20" s="9" t="s">
        <v>150</v>
      </c>
      <c r="O20" s="9"/>
      <c r="P20" s="10" t="s">
        <v>176</v>
      </c>
      <c r="Q20" s="9"/>
      <c r="R20" s="9"/>
      <c r="S20" s="9"/>
      <c r="T20" s="9"/>
      <c r="U20" s="9"/>
      <c r="V20" s="5" t="s">
        <v>804</v>
      </c>
      <c r="W20" s="9" t="s">
        <v>63</v>
      </c>
      <c r="X20" s="9"/>
      <c r="Y20" s="9" t="n">
        <v>2</v>
      </c>
      <c r="Z20" s="5" t="s">
        <v>178</v>
      </c>
    </row>
    <row r="21" customFormat="false" ht="23.85" hidden="false" customHeight="false" outlineLevel="0" collapsed="false">
      <c r="A21" s="9" t="s">
        <v>222</v>
      </c>
      <c r="B21" s="5" t="s">
        <v>223</v>
      </c>
      <c r="C21" s="9" t="s">
        <v>224</v>
      </c>
      <c r="D21" s="9" t="s">
        <v>92</v>
      </c>
      <c r="E21" s="9" t="s">
        <v>796</v>
      </c>
      <c r="F21" s="5" t="s">
        <v>805</v>
      </c>
      <c r="G21" s="5" t="s">
        <v>806</v>
      </c>
      <c r="H21" s="9"/>
      <c r="I21" s="9" t="s">
        <v>106</v>
      </c>
      <c r="J21" s="9" t="s">
        <v>734</v>
      </c>
      <c r="K21" s="9" t="s">
        <v>65</v>
      </c>
      <c r="L21" s="9" t="s">
        <v>51</v>
      </c>
      <c r="M21" s="9" t="s">
        <v>226</v>
      </c>
      <c r="N21" s="9" t="s">
        <v>226</v>
      </c>
      <c r="O21" s="9"/>
      <c r="P21" s="10" t="s">
        <v>225</v>
      </c>
      <c r="Q21" s="9"/>
      <c r="R21" s="9"/>
      <c r="S21" s="9"/>
      <c r="T21" s="9"/>
      <c r="U21" s="9"/>
      <c r="V21" s="5" t="s">
        <v>807</v>
      </c>
      <c r="W21" s="9" t="s">
        <v>63</v>
      </c>
      <c r="X21" s="9"/>
      <c r="Y21" s="9" t="n">
        <v>1</v>
      </c>
      <c r="Z21" s="9" t="s">
        <v>227</v>
      </c>
    </row>
    <row r="22" customFormat="false" ht="15" hidden="false" customHeight="false" outlineLevel="0" collapsed="false">
      <c r="A22" s="9" t="s">
        <v>323</v>
      </c>
      <c r="B22" s="5" t="s">
        <v>324</v>
      </c>
      <c r="C22" s="9" t="s">
        <v>325</v>
      </c>
      <c r="D22" s="9" t="s">
        <v>92</v>
      </c>
      <c r="E22" s="9" t="s">
        <v>796</v>
      </c>
      <c r="F22" s="5" t="s">
        <v>808</v>
      </c>
      <c r="G22" s="5" t="s">
        <v>802</v>
      </c>
      <c r="H22" s="9"/>
      <c r="I22" s="9" t="s">
        <v>327</v>
      </c>
      <c r="J22" s="9" t="s">
        <v>734</v>
      </c>
      <c r="K22" s="9" t="s">
        <v>65</v>
      </c>
      <c r="L22" s="9" t="s">
        <v>51</v>
      </c>
      <c r="M22" s="9" t="s">
        <v>191</v>
      </c>
      <c r="N22" s="9" t="s">
        <v>121</v>
      </c>
      <c r="O22" s="9"/>
      <c r="P22" s="10" t="s">
        <v>326</v>
      </c>
      <c r="Q22" s="9"/>
      <c r="R22" s="9"/>
      <c r="S22" s="9"/>
      <c r="T22" s="9" t="s">
        <v>328</v>
      </c>
      <c r="U22" s="9"/>
      <c r="V22" s="5" t="s">
        <v>809</v>
      </c>
      <c r="W22" s="9" t="s">
        <v>63</v>
      </c>
      <c r="X22" s="9"/>
      <c r="Y22" s="9" t="n">
        <v>1</v>
      </c>
      <c r="Z22" s="9" t="s">
        <v>329</v>
      </c>
    </row>
    <row r="23" customFormat="false" ht="23.85" hidden="false" customHeight="false" outlineLevel="0" collapsed="false">
      <c r="A23" s="9" t="s">
        <v>442</v>
      </c>
      <c r="B23" s="5" t="s">
        <v>443</v>
      </c>
      <c r="C23" s="9" t="s">
        <v>444</v>
      </c>
      <c r="D23" s="9" t="s">
        <v>92</v>
      </c>
      <c r="E23" s="9" t="s">
        <v>796</v>
      </c>
      <c r="F23" s="5" t="s">
        <v>810</v>
      </c>
      <c r="G23" s="5" t="s">
        <v>802</v>
      </c>
      <c r="H23" s="9"/>
      <c r="I23" s="9" t="s">
        <v>106</v>
      </c>
      <c r="J23" s="9" t="s">
        <v>803</v>
      </c>
      <c r="K23" s="9" t="s">
        <v>65</v>
      </c>
      <c r="L23" s="9" t="s">
        <v>51</v>
      </c>
      <c r="M23" s="9" t="s">
        <v>177</v>
      </c>
      <c r="N23" s="9" t="s">
        <v>150</v>
      </c>
      <c r="O23" s="9"/>
      <c r="P23" s="10" t="s">
        <v>445</v>
      </c>
      <c r="Q23" s="9"/>
      <c r="R23" s="9"/>
      <c r="S23" s="9"/>
      <c r="T23" s="9"/>
      <c r="U23" s="9"/>
      <c r="V23" s="5" t="s">
        <v>811</v>
      </c>
      <c r="W23" s="9" t="s">
        <v>63</v>
      </c>
      <c r="X23" s="9"/>
      <c r="Y23" s="9" t="n">
        <v>1</v>
      </c>
      <c r="Z23" s="9" t="s">
        <v>446</v>
      </c>
    </row>
    <row r="24" customFormat="false" ht="23.85" hidden="false" customHeight="false" outlineLevel="0" collapsed="false">
      <c r="A24" s="9" t="s">
        <v>103</v>
      </c>
      <c r="B24" s="5" t="s">
        <v>104</v>
      </c>
      <c r="C24" s="9"/>
      <c r="D24" s="9" t="s">
        <v>92</v>
      </c>
      <c r="E24" s="9" t="s">
        <v>796</v>
      </c>
      <c r="F24" s="5" t="s">
        <v>812</v>
      </c>
      <c r="G24" s="5" t="s">
        <v>813</v>
      </c>
      <c r="H24" s="9"/>
      <c r="I24" s="9" t="s">
        <v>106</v>
      </c>
      <c r="J24" s="9" t="s">
        <v>734</v>
      </c>
      <c r="K24" s="9" t="s">
        <v>65</v>
      </c>
      <c r="L24" s="9" t="s">
        <v>51</v>
      </c>
      <c r="M24" s="9" t="s">
        <v>105</v>
      </c>
      <c r="N24" s="9" t="s">
        <v>105</v>
      </c>
      <c r="O24" s="9"/>
      <c r="P24" s="9"/>
      <c r="Q24" s="9" t="s">
        <v>107</v>
      </c>
      <c r="R24" s="9"/>
      <c r="S24" s="9"/>
      <c r="T24" s="9"/>
      <c r="U24" s="9"/>
      <c r="V24" s="5" t="s">
        <v>814</v>
      </c>
      <c r="W24" s="9" t="s">
        <v>64</v>
      </c>
      <c r="X24" s="9"/>
      <c r="Y24" s="9" t="n">
        <v>1</v>
      </c>
      <c r="Z24" s="9" t="s">
        <v>108</v>
      </c>
    </row>
    <row r="25" customFormat="false" ht="23.85" hidden="false" customHeight="false" outlineLevel="0" collapsed="false">
      <c r="A25" s="9" t="s">
        <v>131</v>
      </c>
      <c r="B25" s="5" t="s">
        <v>132</v>
      </c>
      <c r="C25" s="9" t="s">
        <v>133</v>
      </c>
      <c r="D25" s="9" t="s">
        <v>92</v>
      </c>
      <c r="E25" s="9" t="s">
        <v>796</v>
      </c>
      <c r="F25" s="5" t="s">
        <v>812</v>
      </c>
      <c r="G25" s="5" t="s">
        <v>815</v>
      </c>
      <c r="H25" s="9"/>
      <c r="I25" s="9" t="s">
        <v>135</v>
      </c>
      <c r="J25" s="9" t="s">
        <v>734</v>
      </c>
      <c r="K25" s="9" t="s">
        <v>65</v>
      </c>
      <c r="L25" s="9" t="s">
        <v>51</v>
      </c>
      <c r="M25" s="9" t="s">
        <v>134</v>
      </c>
      <c r="N25" s="9" t="s">
        <v>134</v>
      </c>
      <c r="O25" s="9"/>
      <c r="P25" s="9"/>
      <c r="Q25" s="9" t="s">
        <v>136</v>
      </c>
      <c r="R25" s="9"/>
      <c r="S25" s="9"/>
      <c r="T25" s="9"/>
      <c r="U25" s="9"/>
      <c r="V25" s="5" t="s">
        <v>816</v>
      </c>
      <c r="W25" s="9" t="s">
        <v>64</v>
      </c>
      <c r="X25" s="9"/>
      <c r="Y25" s="9" t="n">
        <v>1</v>
      </c>
      <c r="Z25" s="9" t="s">
        <v>108</v>
      </c>
    </row>
    <row r="26" customFormat="false" ht="35.05" hidden="false" customHeight="false" outlineLevel="0" collapsed="false">
      <c r="A26" s="9" t="s">
        <v>203</v>
      </c>
      <c r="B26" s="5" t="s">
        <v>204</v>
      </c>
      <c r="C26" s="9" t="s">
        <v>204</v>
      </c>
      <c r="D26" s="9" t="s">
        <v>92</v>
      </c>
      <c r="E26" s="9" t="s">
        <v>796</v>
      </c>
      <c r="F26" s="5" t="s">
        <v>817</v>
      </c>
      <c r="G26" s="5" t="s">
        <v>818</v>
      </c>
      <c r="H26" s="9"/>
      <c r="I26" s="9" t="s">
        <v>106</v>
      </c>
      <c r="J26" s="9" t="s">
        <v>734</v>
      </c>
      <c r="K26" s="9" t="s">
        <v>65</v>
      </c>
      <c r="L26" s="9" t="s">
        <v>51</v>
      </c>
      <c r="M26" s="9" t="s">
        <v>205</v>
      </c>
      <c r="N26" s="9" t="s">
        <v>205</v>
      </c>
      <c r="O26" s="9"/>
      <c r="P26" s="9"/>
      <c r="Q26" s="9" t="s">
        <v>206</v>
      </c>
      <c r="R26" s="9"/>
      <c r="S26" s="9"/>
      <c r="T26" s="9"/>
      <c r="U26" s="9"/>
      <c r="V26" s="5" t="s">
        <v>819</v>
      </c>
      <c r="W26" s="9" t="s">
        <v>64</v>
      </c>
      <c r="X26" s="9"/>
      <c r="Y26" s="9" t="n">
        <v>2</v>
      </c>
      <c r="Z26" s="5" t="s">
        <v>207</v>
      </c>
    </row>
    <row r="27" customFormat="false" ht="23.85" hidden="false" customHeight="false" outlineLevel="0" collapsed="false">
      <c r="A27" s="9" t="s">
        <v>344</v>
      </c>
      <c r="B27" s="5" t="s">
        <v>345</v>
      </c>
      <c r="C27" s="9" t="s">
        <v>346</v>
      </c>
      <c r="D27" s="9" t="s">
        <v>92</v>
      </c>
      <c r="E27" s="9" t="s">
        <v>796</v>
      </c>
      <c r="F27" s="5" t="s">
        <v>820</v>
      </c>
      <c r="G27" s="5" t="s">
        <v>821</v>
      </c>
      <c r="H27" s="9"/>
      <c r="I27" s="9" t="s">
        <v>348</v>
      </c>
      <c r="J27" s="9" t="s">
        <v>734</v>
      </c>
      <c r="K27" s="9" t="s">
        <v>65</v>
      </c>
      <c r="L27" s="9" t="s">
        <v>51</v>
      </c>
      <c r="M27" s="9" t="s">
        <v>347</v>
      </c>
      <c r="N27" s="9" t="s">
        <v>347</v>
      </c>
      <c r="O27" s="9"/>
      <c r="P27" s="9"/>
      <c r="Q27" s="9" t="s">
        <v>349</v>
      </c>
      <c r="R27" s="9"/>
      <c r="S27" s="9"/>
      <c r="T27" s="9"/>
      <c r="U27" s="9"/>
      <c r="V27" s="5" t="s">
        <v>822</v>
      </c>
      <c r="W27" s="9" t="s">
        <v>64</v>
      </c>
      <c r="X27" s="9"/>
      <c r="Y27" s="9" t="n">
        <v>1</v>
      </c>
      <c r="Z27" s="9" t="s">
        <v>350</v>
      </c>
    </row>
    <row r="28" customFormat="false" ht="35.05" hidden="false" customHeight="false" outlineLevel="0" collapsed="false">
      <c r="A28" s="9" t="s">
        <v>391</v>
      </c>
      <c r="B28" s="5" t="s">
        <v>392</v>
      </c>
      <c r="C28" s="9" t="s">
        <v>393</v>
      </c>
      <c r="D28" s="9" t="s">
        <v>92</v>
      </c>
      <c r="E28" s="9" t="s">
        <v>796</v>
      </c>
      <c r="F28" s="5" t="s">
        <v>823</v>
      </c>
      <c r="G28" s="5" t="s">
        <v>824</v>
      </c>
      <c r="H28" s="9"/>
      <c r="I28" s="9" t="s">
        <v>396</v>
      </c>
      <c r="J28" s="9" t="s">
        <v>825</v>
      </c>
      <c r="K28" s="9" t="s">
        <v>65</v>
      </c>
      <c r="L28" s="9" t="s">
        <v>51</v>
      </c>
      <c r="M28" s="9" t="s">
        <v>395</v>
      </c>
      <c r="N28" s="9" t="s">
        <v>121</v>
      </c>
      <c r="O28" s="9"/>
      <c r="P28" s="10" t="s">
        <v>394</v>
      </c>
      <c r="Q28" s="9"/>
      <c r="R28" s="9"/>
      <c r="S28" s="9"/>
      <c r="T28" s="9"/>
      <c r="U28" s="9"/>
      <c r="V28" s="5" t="s">
        <v>826</v>
      </c>
      <c r="W28" s="9" t="s">
        <v>64</v>
      </c>
      <c r="X28" s="9"/>
      <c r="Y28" s="9" t="n">
        <v>2</v>
      </c>
      <c r="Z28" s="5" t="s">
        <v>397</v>
      </c>
    </row>
    <row r="29" customFormat="false" ht="23.85" hidden="false" customHeight="false" outlineLevel="0" collapsed="false">
      <c r="A29" s="9" t="s">
        <v>496</v>
      </c>
      <c r="B29" s="5" t="s">
        <v>497</v>
      </c>
      <c r="C29" s="9" t="s">
        <v>498</v>
      </c>
      <c r="D29" s="9" t="s">
        <v>92</v>
      </c>
      <c r="E29" s="9" t="s">
        <v>796</v>
      </c>
      <c r="F29" s="5" t="s">
        <v>827</v>
      </c>
      <c r="G29" s="5" t="s">
        <v>828</v>
      </c>
      <c r="H29" s="9"/>
      <c r="I29" s="9" t="s">
        <v>106</v>
      </c>
      <c r="J29" s="9" t="s">
        <v>734</v>
      </c>
      <c r="K29" s="9" t="s">
        <v>65</v>
      </c>
      <c r="L29" s="9" t="s">
        <v>51</v>
      </c>
      <c r="M29" s="9" t="s">
        <v>500</v>
      </c>
      <c r="N29" s="9" t="s">
        <v>500</v>
      </c>
      <c r="O29" s="9"/>
      <c r="P29" s="10" t="s">
        <v>499</v>
      </c>
      <c r="Q29" s="9"/>
      <c r="R29" s="9"/>
      <c r="S29" s="9"/>
      <c r="T29" s="9"/>
      <c r="U29" s="9"/>
      <c r="V29" s="5" t="s">
        <v>829</v>
      </c>
      <c r="W29" s="9" t="s">
        <v>64</v>
      </c>
      <c r="X29" s="9"/>
      <c r="Y29" s="9" t="n">
        <v>1</v>
      </c>
      <c r="Z29" s="9" t="s">
        <v>501</v>
      </c>
    </row>
    <row r="30" customFormat="false" ht="35.05" hidden="false" customHeight="false" outlineLevel="0" collapsed="false">
      <c r="A30" s="9" t="s">
        <v>650</v>
      </c>
      <c r="B30" s="5" t="s">
        <v>651</v>
      </c>
      <c r="C30" s="9" t="s">
        <v>652</v>
      </c>
      <c r="D30" s="9" t="s">
        <v>92</v>
      </c>
      <c r="E30" s="9" t="s">
        <v>796</v>
      </c>
      <c r="F30" s="5" t="s">
        <v>830</v>
      </c>
      <c r="G30" s="5" t="s">
        <v>831</v>
      </c>
      <c r="H30" s="9"/>
      <c r="I30" s="9" t="s">
        <v>580</v>
      </c>
      <c r="J30" s="9" t="s">
        <v>832</v>
      </c>
      <c r="K30" s="9" t="s">
        <v>65</v>
      </c>
      <c r="L30" s="9" t="s">
        <v>51</v>
      </c>
      <c r="M30" s="9" t="s">
        <v>134</v>
      </c>
      <c r="N30" s="9" t="s">
        <v>134</v>
      </c>
      <c r="O30" s="9"/>
      <c r="P30" s="10" t="s">
        <v>653</v>
      </c>
      <c r="Q30" s="9"/>
      <c r="R30" s="9"/>
      <c r="S30" s="9"/>
      <c r="T30" s="9"/>
      <c r="U30" s="9"/>
      <c r="V30" s="5" t="s">
        <v>833</v>
      </c>
      <c r="W30" s="9" t="s">
        <v>64</v>
      </c>
      <c r="X30" s="9"/>
      <c r="Y30" s="9" t="n">
        <v>1</v>
      </c>
      <c r="Z30" s="9" t="s">
        <v>654</v>
      </c>
    </row>
    <row r="31" customFormat="false" ht="23.85" hidden="false" customHeight="false" outlineLevel="0" collapsed="false">
      <c r="A31" s="9" t="s">
        <v>691</v>
      </c>
      <c r="B31" s="5" t="s">
        <v>692</v>
      </c>
      <c r="C31" s="9" t="s">
        <v>692</v>
      </c>
      <c r="D31" s="9" t="s">
        <v>92</v>
      </c>
      <c r="E31" s="9" t="s">
        <v>796</v>
      </c>
      <c r="F31" s="5" t="s">
        <v>834</v>
      </c>
      <c r="G31" s="5" t="s">
        <v>835</v>
      </c>
      <c r="H31" s="9"/>
      <c r="I31" s="9" t="s">
        <v>106</v>
      </c>
      <c r="J31" s="9" t="s">
        <v>725</v>
      </c>
      <c r="K31" s="9" t="s">
        <v>65</v>
      </c>
      <c r="L31" s="9" t="s">
        <v>51</v>
      </c>
      <c r="M31" s="9" t="s">
        <v>121</v>
      </c>
      <c r="N31" s="9" t="s">
        <v>121</v>
      </c>
      <c r="O31" s="9"/>
      <c r="P31" s="10" t="s">
        <v>693</v>
      </c>
      <c r="Q31" s="9"/>
      <c r="R31" s="9"/>
      <c r="S31" s="9"/>
      <c r="T31" s="9"/>
      <c r="U31" s="9"/>
      <c r="V31" s="5" t="s">
        <v>836</v>
      </c>
      <c r="W31" s="9" t="s">
        <v>64</v>
      </c>
      <c r="X31" s="9"/>
      <c r="Y31" s="9" t="n">
        <v>1</v>
      </c>
      <c r="Z31" s="9" t="s">
        <v>694</v>
      </c>
    </row>
    <row r="32" customFormat="false" ht="15" hidden="false" customHeight="false" outlineLevel="0" collapsed="false">
      <c r="A32" s="9" t="s">
        <v>655</v>
      </c>
      <c r="B32" s="5" t="s">
        <v>656</v>
      </c>
      <c r="C32" s="9" t="s">
        <v>657</v>
      </c>
      <c r="D32" s="9" t="s">
        <v>92</v>
      </c>
      <c r="E32" s="9" t="s">
        <v>796</v>
      </c>
      <c r="F32" s="5" t="s">
        <v>837</v>
      </c>
      <c r="G32" s="5" t="s">
        <v>838</v>
      </c>
      <c r="H32" s="9"/>
      <c r="I32" s="9" t="s">
        <v>106</v>
      </c>
      <c r="J32" s="9" t="s">
        <v>839</v>
      </c>
      <c r="K32" s="9" t="s">
        <v>66</v>
      </c>
      <c r="L32" s="9" t="s">
        <v>51</v>
      </c>
      <c r="M32" s="9" t="s">
        <v>121</v>
      </c>
      <c r="N32" s="9" t="s">
        <v>121</v>
      </c>
      <c r="O32" s="9"/>
      <c r="P32" s="10" t="s">
        <v>658</v>
      </c>
      <c r="Q32" s="9"/>
      <c r="R32" s="9"/>
      <c r="S32" s="9"/>
      <c r="T32" s="9"/>
      <c r="U32" s="9"/>
      <c r="V32" s="5" t="s">
        <v>840</v>
      </c>
      <c r="W32" s="9" t="s">
        <v>63</v>
      </c>
      <c r="X32" s="9"/>
      <c r="Y32" s="9" t="n">
        <v>2</v>
      </c>
      <c r="Z32" s="5" t="s">
        <v>659</v>
      </c>
    </row>
    <row r="33" customFormat="false" ht="15" hidden="false" customHeight="false" outlineLevel="0" collapsed="false">
      <c r="A33" s="9" t="s">
        <v>416</v>
      </c>
      <c r="B33" s="5" t="s">
        <v>417</v>
      </c>
      <c r="C33" s="9" t="s">
        <v>418</v>
      </c>
      <c r="D33" s="9" t="s">
        <v>92</v>
      </c>
      <c r="E33" s="9" t="s">
        <v>796</v>
      </c>
      <c r="F33" s="5" t="s">
        <v>793</v>
      </c>
      <c r="G33" s="5" t="s">
        <v>841</v>
      </c>
      <c r="H33" s="9"/>
      <c r="I33" s="9" t="s">
        <v>106</v>
      </c>
      <c r="J33" s="9" t="s">
        <v>842</v>
      </c>
      <c r="K33" s="9" t="s">
        <v>66</v>
      </c>
      <c r="L33" s="9" t="s">
        <v>51</v>
      </c>
      <c r="M33" s="9" t="s">
        <v>420</v>
      </c>
      <c r="N33" s="9" t="s">
        <v>420</v>
      </c>
      <c r="O33" s="9"/>
      <c r="P33" s="10" t="s">
        <v>419</v>
      </c>
      <c r="Q33" s="9"/>
      <c r="R33" s="9"/>
      <c r="S33" s="9"/>
      <c r="T33" s="9"/>
      <c r="U33" s="9"/>
      <c r="V33" s="5" t="s">
        <v>843</v>
      </c>
      <c r="W33" s="9" t="s">
        <v>64</v>
      </c>
      <c r="X33" s="9"/>
      <c r="Y33" s="9" t="n">
        <v>1</v>
      </c>
      <c r="Z33" s="9" t="s">
        <v>421</v>
      </c>
    </row>
    <row r="34" customFormat="false" ht="23.85" hidden="false" customHeight="false" outlineLevel="0" collapsed="false">
      <c r="A34" s="9" t="s">
        <v>490</v>
      </c>
      <c r="B34" s="5" t="s">
        <v>491</v>
      </c>
      <c r="C34" s="9" t="s">
        <v>492</v>
      </c>
      <c r="D34" s="9" t="s">
        <v>92</v>
      </c>
      <c r="E34" s="9" t="s">
        <v>796</v>
      </c>
      <c r="F34" s="5" t="s">
        <v>844</v>
      </c>
      <c r="G34" s="5" t="s">
        <v>845</v>
      </c>
      <c r="H34" s="9"/>
      <c r="I34" s="9" t="s">
        <v>494</v>
      </c>
      <c r="J34" s="9" t="s">
        <v>846</v>
      </c>
      <c r="K34" s="9" t="s">
        <v>66</v>
      </c>
      <c r="L34" s="9" t="s">
        <v>51</v>
      </c>
      <c r="M34" s="9" t="s">
        <v>493</v>
      </c>
      <c r="N34" s="9" t="s">
        <v>493</v>
      </c>
      <c r="O34" s="9"/>
      <c r="P34" s="9"/>
      <c r="Q34" s="9"/>
      <c r="R34" s="9"/>
      <c r="S34" s="9"/>
      <c r="T34" s="9"/>
      <c r="U34" s="9"/>
      <c r="V34" s="5" t="s">
        <v>847</v>
      </c>
      <c r="W34" s="9" t="s">
        <v>64</v>
      </c>
      <c r="X34" s="9"/>
      <c r="Y34" s="9" t="n">
        <v>1</v>
      </c>
      <c r="Z34" s="9" t="s">
        <v>495</v>
      </c>
    </row>
    <row r="35" customFormat="false" ht="15" hidden="false" customHeight="false" outlineLevel="0" collapsed="false">
      <c r="A35" s="9" t="s">
        <v>577</v>
      </c>
      <c r="B35" s="5" t="s">
        <v>578</v>
      </c>
      <c r="C35" s="9" t="s">
        <v>578</v>
      </c>
      <c r="D35" s="9" t="s">
        <v>92</v>
      </c>
      <c r="E35" s="9" t="s">
        <v>796</v>
      </c>
      <c r="F35" s="5" t="s">
        <v>848</v>
      </c>
      <c r="G35" s="5" t="s">
        <v>849</v>
      </c>
      <c r="H35" s="9"/>
      <c r="I35" s="9" t="s">
        <v>580</v>
      </c>
      <c r="J35" s="9" t="s">
        <v>850</v>
      </c>
      <c r="K35" s="9" t="s">
        <v>66</v>
      </c>
      <c r="L35" s="9" t="s">
        <v>51</v>
      </c>
      <c r="M35" s="9" t="s">
        <v>579</v>
      </c>
      <c r="N35" s="9" t="s">
        <v>134</v>
      </c>
      <c r="O35" s="9"/>
      <c r="P35" s="9"/>
      <c r="Q35" s="9"/>
      <c r="R35" s="9"/>
      <c r="S35" s="9"/>
      <c r="T35" s="9"/>
      <c r="U35" s="9"/>
      <c r="V35" s="5" t="s">
        <v>851</v>
      </c>
      <c r="W35" s="9" t="s">
        <v>64</v>
      </c>
      <c r="X35" s="9"/>
      <c r="Y35" s="9" t="n">
        <v>1</v>
      </c>
      <c r="Z35" s="9" t="s">
        <v>581</v>
      </c>
    </row>
    <row r="36" customFormat="false" ht="35.05" hidden="false" customHeight="false" outlineLevel="0" collapsed="false">
      <c r="A36" s="9" t="s">
        <v>259</v>
      </c>
      <c r="B36" s="5" t="s">
        <v>260</v>
      </c>
      <c r="C36" s="9" t="s">
        <v>260</v>
      </c>
      <c r="D36" s="9" t="s">
        <v>92</v>
      </c>
      <c r="E36" s="9" t="s">
        <v>796</v>
      </c>
      <c r="F36" s="5" t="s">
        <v>852</v>
      </c>
      <c r="G36" s="5" t="s">
        <v>853</v>
      </c>
      <c r="H36" s="9"/>
      <c r="I36" s="9" t="s">
        <v>262</v>
      </c>
      <c r="J36" s="9"/>
      <c r="K36" s="9" t="s">
        <v>67</v>
      </c>
      <c r="L36" s="9" t="s">
        <v>50</v>
      </c>
      <c r="M36" s="9" t="s">
        <v>93</v>
      </c>
      <c r="N36" s="9" t="s">
        <v>93</v>
      </c>
      <c r="O36" s="9"/>
      <c r="P36" s="10" t="s">
        <v>261</v>
      </c>
      <c r="Q36" s="9"/>
      <c r="R36" s="9"/>
      <c r="S36" s="9"/>
      <c r="T36" s="9" t="s">
        <v>151</v>
      </c>
      <c r="U36" s="9"/>
      <c r="V36" s="5" t="s">
        <v>854</v>
      </c>
      <c r="W36" s="9" t="s">
        <v>64</v>
      </c>
      <c r="X36" s="9"/>
      <c r="Y36" s="9" t="n">
        <v>1</v>
      </c>
      <c r="Z36" s="9" t="s">
        <v>263</v>
      </c>
    </row>
    <row r="37" customFormat="false" ht="35.05" hidden="false" customHeight="false" outlineLevel="0" collapsed="false">
      <c r="A37" s="9" t="s">
        <v>457</v>
      </c>
      <c r="B37" s="5" t="s">
        <v>458</v>
      </c>
      <c r="C37" s="9" t="s">
        <v>459</v>
      </c>
      <c r="D37" s="9" t="s">
        <v>92</v>
      </c>
      <c r="E37" s="9" t="s">
        <v>796</v>
      </c>
      <c r="F37" s="5" t="s">
        <v>855</v>
      </c>
      <c r="G37" s="5" t="s">
        <v>853</v>
      </c>
      <c r="H37" s="9"/>
      <c r="I37" s="9" t="s">
        <v>462</v>
      </c>
      <c r="J37" s="9"/>
      <c r="K37" s="9" t="s">
        <v>67</v>
      </c>
      <c r="L37" s="9" t="s">
        <v>50</v>
      </c>
      <c r="M37" s="9" t="s">
        <v>461</v>
      </c>
      <c r="N37" s="9" t="s">
        <v>93</v>
      </c>
      <c r="O37" s="9"/>
      <c r="P37" s="10" t="s">
        <v>460</v>
      </c>
      <c r="Q37" s="9"/>
      <c r="R37" s="9"/>
      <c r="S37" s="9"/>
      <c r="T37" s="9"/>
      <c r="U37" s="9"/>
      <c r="V37" s="5" t="s">
        <v>856</v>
      </c>
      <c r="W37" s="9" t="s">
        <v>64</v>
      </c>
      <c r="X37" s="9"/>
      <c r="Y37" s="9" t="n">
        <v>1</v>
      </c>
      <c r="Z37" s="9" t="s">
        <v>463</v>
      </c>
    </row>
    <row r="38" customFormat="false" ht="35.05" hidden="false" customHeight="false" outlineLevel="0" collapsed="false">
      <c r="A38" s="9" t="s">
        <v>518</v>
      </c>
      <c r="B38" s="5" t="s">
        <v>519</v>
      </c>
      <c r="C38" s="9" t="s">
        <v>857</v>
      </c>
      <c r="D38" s="9" t="s">
        <v>92</v>
      </c>
      <c r="E38" s="9" t="s">
        <v>858</v>
      </c>
      <c r="F38" s="5" t="s">
        <v>859</v>
      </c>
      <c r="G38" s="5" t="s">
        <v>860</v>
      </c>
      <c r="H38" s="9" t="s">
        <v>861</v>
      </c>
      <c r="I38" s="9" t="s">
        <v>664</v>
      </c>
      <c r="J38" s="9" t="s">
        <v>862</v>
      </c>
      <c r="K38" s="9" t="s">
        <v>66</v>
      </c>
      <c r="L38" s="9" t="s">
        <v>48</v>
      </c>
      <c r="M38" s="9" t="s">
        <v>863</v>
      </c>
      <c r="N38" s="9" t="s">
        <v>93</v>
      </c>
      <c r="O38" s="9" t="s">
        <v>864</v>
      </c>
      <c r="P38" s="10" t="s">
        <v>521</v>
      </c>
      <c r="Q38" s="9"/>
      <c r="R38" s="9" t="s">
        <v>865</v>
      </c>
      <c r="S38" s="9" t="s">
        <v>526</v>
      </c>
      <c r="T38" s="9" t="s">
        <v>866</v>
      </c>
      <c r="U38" s="9"/>
      <c r="V38" s="5" t="s">
        <v>867</v>
      </c>
      <c r="W38" s="9" t="s">
        <v>63</v>
      </c>
      <c r="X38" s="9" t="s">
        <v>54</v>
      </c>
      <c r="Y38" s="9" t="n">
        <v>5</v>
      </c>
      <c r="Z38" s="5" t="s">
        <v>868</v>
      </c>
    </row>
    <row r="39" customFormat="false" ht="57.45" hidden="false" customHeight="false" outlineLevel="0" collapsed="false">
      <c r="A39" s="9" t="s">
        <v>639</v>
      </c>
      <c r="B39" s="5" t="s">
        <v>640</v>
      </c>
      <c r="C39" s="9" t="s">
        <v>869</v>
      </c>
      <c r="D39" s="9" t="s">
        <v>156</v>
      </c>
      <c r="E39" s="9" t="s">
        <v>858</v>
      </c>
      <c r="F39" s="5" t="s">
        <v>870</v>
      </c>
      <c r="G39" s="5" t="s">
        <v>871</v>
      </c>
      <c r="H39" s="9"/>
      <c r="I39" s="9" t="s">
        <v>664</v>
      </c>
      <c r="J39" s="9"/>
      <c r="K39" s="9" t="s">
        <v>67</v>
      </c>
      <c r="L39" s="9" t="s">
        <v>45</v>
      </c>
      <c r="M39" s="9" t="s">
        <v>872</v>
      </c>
      <c r="N39" s="9" t="s">
        <v>93</v>
      </c>
      <c r="O39" s="9" t="s">
        <v>873</v>
      </c>
      <c r="P39" s="10" t="s">
        <v>642</v>
      </c>
      <c r="Q39" s="9"/>
      <c r="R39" s="9"/>
      <c r="S39" s="9"/>
      <c r="T39" s="9" t="s">
        <v>874</v>
      </c>
      <c r="U39" s="9" t="s">
        <v>875</v>
      </c>
      <c r="V39" s="5" t="s">
        <v>876</v>
      </c>
      <c r="W39" s="9" t="s">
        <v>64</v>
      </c>
      <c r="X39" s="9" t="s">
        <v>54</v>
      </c>
      <c r="Y39" s="9" t="n">
        <v>4</v>
      </c>
      <c r="Z39" s="5" t="s">
        <v>877</v>
      </c>
    </row>
  </sheetData>
  <hyperlinks>
    <hyperlink ref="P3" r:id="rId1" display="https://www.roquette.com/"/>
    <hyperlink ref="P4" r:id="rId2" display="https://www.ingredion.com"/>
    <hyperlink ref="P5" r:id="rId3" display="https://www.roquette.com"/>
    <hyperlink ref="P6" r:id="rId4" display="https://www.cargill.com/pharmaceutical/pharma-products/glucose-monohydrates-dextrose"/>
    <hyperlink ref="P9" r:id="rId5" display="https://www.tereos.com"/>
    <hyperlink ref="P12" r:id="rId6" display="https://www.cargill.com"/>
    <hyperlink ref="P13" r:id="rId7" display="https://www.ambujagroup.com/"/>
    <hyperlink ref="P14" r:id="rId8" display="https://www.maizeproducts.com/"/>
    <hyperlink ref="P16" r:id="rId9" display="https://www.jaysomnathstarch.in/"/>
    <hyperlink ref="P17" r:id="rId10" display="https://www.adm.com"/>
    <hyperlink ref="P18" r:id="rId11" display="https://www.ramshreechemicals.in/"/>
    <hyperlink ref="P19" r:id="rId12" display="https://www.avantorsciences.com"/>
    <hyperlink ref="P20" r:id="rId13" display="https://www.biesterfeld.com"/>
    <hyperlink ref="P21" r:id="rId14" display="https://www.cosmos.com.mx"/>
    <hyperlink ref="P22" r:id="rId15" display="https://www.hawkinsinc.com"/>
    <hyperlink ref="P23" r:id="rId16" display="https://www.nordmann.global"/>
    <hyperlink ref="P28" r:id="rId17" display="https://www.laballey.com"/>
    <hyperlink ref="P29" r:id="rId18" display="https://www.quadragroup.store"/>
    <hyperlink ref="P30" r:id="rId19" display="https://www.tianjiachem.com"/>
    <hyperlink ref="P31" r:id="rId20" display="https://www.xenexlabs.com"/>
    <hyperlink ref="P32" r:id="rId21" display="https://www.tilleydistributionproducts.com"/>
    <hyperlink ref="P33" r:id="rId22" display="https://www.monarchchemicals.co.uk"/>
    <hyperlink ref="P36" r:id="rId23" display="https://elchemy.com/"/>
    <hyperlink ref="P37" r:id="rId24" display="https://pciplindia.com/"/>
    <hyperlink ref="P38" r:id="rId25" display="https://regaalresources.com/"/>
    <hyperlink ref="P39" r:id="rId26" display="https://www.sukhjitgroup.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7" min="6" style="0" width="5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26"/>
    <col collapsed="false" customWidth="true" hidden="false" outlineLevel="0" max="14" min="14" style="0" width="12"/>
    <col collapsed="false" customWidth="true" hidden="false" outlineLevel="0" max="16" min="15" style="0" width="30"/>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1" min="20" style="0" width="28"/>
    <col collapsed="false" customWidth="true" hidden="false" outlineLevel="0" max="22" min="22" style="0" width="55"/>
    <col collapsed="false" customWidth="true" hidden="false" outlineLevel="0" max="23" min="23" style="0" width="11"/>
    <col collapsed="false" customWidth="true" hidden="false" outlineLevel="0" max="24" min="24" style="0" width="26"/>
    <col collapsed="false" customWidth="true" hidden="false" outlineLevel="0" max="25" min="25" style="0" width="9"/>
    <col collapsed="false" customWidth="true" hidden="false" outlineLevel="0" max="26" min="26" style="0" width="60"/>
  </cols>
  <sheetData>
    <row r="1" customFormat="false" ht="15" hidden="false" customHeight="false" outlineLevel="0" collapsed="false">
      <c r="A1" s="7" t="s">
        <v>878</v>
      </c>
    </row>
    <row r="2" customFormat="false" ht="31.5" hidden="false" customHeight="true" outlineLevel="0" collapsed="false">
      <c r="A2" s="6" t="s">
        <v>72</v>
      </c>
      <c r="B2" s="6" t="s">
        <v>73</v>
      </c>
      <c r="C2" s="6" t="s">
        <v>74</v>
      </c>
      <c r="D2" s="6" t="s">
        <v>30</v>
      </c>
      <c r="E2" s="6" t="s">
        <v>703</v>
      </c>
      <c r="F2" s="6" t="s">
        <v>704</v>
      </c>
      <c r="G2" s="6" t="s">
        <v>705</v>
      </c>
      <c r="H2" s="6" t="s">
        <v>706</v>
      </c>
      <c r="I2" s="6" t="s">
        <v>707</v>
      </c>
      <c r="J2" s="6" t="s">
        <v>708</v>
      </c>
      <c r="K2" s="6" t="s">
        <v>34</v>
      </c>
      <c r="L2" s="6" t="s">
        <v>78</v>
      </c>
      <c r="M2" s="6" t="s">
        <v>76</v>
      </c>
      <c r="N2" s="6" t="s">
        <v>77</v>
      </c>
      <c r="O2" s="6" t="s">
        <v>709</v>
      </c>
      <c r="P2" s="6" t="s">
        <v>75</v>
      </c>
      <c r="Q2" s="6" t="s">
        <v>86</v>
      </c>
      <c r="R2" s="6" t="s">
        <v>83</v>
      </c>
      <c r="S2" s="6" t="s">
        <v>84</v>
      </c>
      <c r="T2" s="6" t="s">
        <v>82</v>
      </c>
      <c r="U2" s="6" t="s">
        <v>85</v>
      </c>
      <c r="V2" s="6" t="s">
        <v>710</v>
      </c>
      <c r="W2" s="6" t="s">
        <v>32</v>
      </c>
      <c r="X2" s="6" t="s">
        <v>711</v>
      </c>
      <c r="Y2" s="6" t="s">
        <v>88</v>
      </c>
      <c r="Z2" s="6" t="s">
        <v>14</v>
      </c>
    </row>
    <row r="3" customFormat="false" ht="57.45" hidden="false" customHeight="false" outlineLevel="0" collapsed="false">
      <c r="A3" s="9" t="s">
        <v>301</v>
      </c>
      <c r="B3" s="5" t="s">
        <v>302</v>
      </c>
      <c r="C3" s="9" t="s">
        <v>303</v>
      </c>
      <c r="D3" s="9" t="s">
        <v>156</v>
      </c>
      <c r="E3" s="9" t="s">
        <v>879</v>
      </c>
      <c r="F3" s="5" t="s">
        <v>880</v>
      </c>
      <c r="G3" s="5" t="s">
        <v>881</v>
      </c>
      <c r="H3" s="9" t="s">
        <v>882</v>
      </c>
      <c r="I3" s="9" t="s">
        <v>664</v>
      </c>
      <c r="J3" s="9" t="s">
        <v>883</v>
      </c>
      <c r="K3" s="9" t="s">
        <v>884</v>
      </c>
      <c r="L3" s="9" t="s">
        <v>44</v>
      </c>
      <c r="M3" s="9" t="s">
        <v>219</v>
      </c>
      <c r="N3" s="9" t="s">
        <v>93</v>
      </c>
      <c r="O3" s="9" t="s">
        <v>885</v>
      </c>
      <c r="P3" s="10" t="s">
        <v>304</v>
      </c>
      <c r="Q3" s="9"/>
      <c r="R3" s="9" t="s">
        <v>308</v>
      </c>
      <c r="S3" s="9"/>
      <c r="T3" s="9" t="s">
        <v>886</v>
      </c>
      <c r="U3" s="9" t="s">
        <v>309</v>
      </c>
      <c r="V3" s="5" t="s">
        <v>887</v>
      </c>
      <c r="W3" s="9" t="s">
        <v>62</v>
      </c>
      <c r="X3" s="9" t="s">
        <v>53</v>
      </c>
      <c r="Y3" s="9" t="n">
        <v>3</v>
      </c>
      <c r="Z3" s="5" t="s">
        <v>888</v>
      </c>
    </row>
    <row r="4" customFormat="false" ht="46.25" hidden="false" customHeight="false" outlineLevel="0" collapsed="false">
      <c r="A4" s="9" t="s">
        <v>535</v>
      </c>
      <c r="B4" s="5" t="s">
        <v>536</v>
      </c>
      <c r="C4" s="9" t="s">
        <v>537</v>
      </c>
      <c r="D4" s="9" t="s">
        <v>92</v>
      </c>
      <c r="E4" s="9" t="s">
        <v>879</v>
      </c>
      <c r="F4" s="5" t="s">
        <v>889</v>
      </c>
      <c r="G4" s="5" t="s">
        <v>890</v>
      </c>
      <c r="H4" s="9" t="s">
        <v>891</v>
      </c>
      <c r="I4" s="9" t="s">
        <v>539</v>
      </c>
      <c r="J4" s="9" t="s">
        <v>839</v>
      </c>
      <c r="K4" s="9" t="s">
        <v>884</v>
      </c>
      <c r="L4" s="9" t="s">
        <v>44</v>
      </c>
      <c r="M4" s="9" t="s">
        <v>219</v>
      </c>
      <c r="N4" s="9" t="s">
        <v>93</v>
      </c>
      <c r="O4" s="9" t="s">
        <v>892</v>
      </c>
      <c r="P4" s="10" t="s">
        <v>538</v>
      </c>
      <c r="Q4" s="9"/>
      <c r="R4" s="9" t="s">
        <v>541</v>
      </c>
      <c r="S4" s="9"/>
      <c r="T4" s="9" t="s">
        <v>540</v>
      </c>
      <c r="U4" s="9"/>
      <c r="V4" s="5" t="s">
        <v>893</v>
      </c>
      <c r="W4" s="9" t="s">
        <v>63</v>
      </c>
      <c r="X4" s="9"/>
      <c r="Y4" s="9" t="n">
        <v>4</v>
      </c>
      <c r="Z4" s="5" t="s">
        <v>542</v>
      </c>
    </row>
    <row r="5" customFormat="false" ht="46.25" hidden="false" customHeight="false" outlineLevel="0" collapsed="false">
      <c r="A5" s="9" t="s">
        <v>552</v>
      </c>
      <c r="B5" s="5" t="s">
        <v>553</v>
      </c>
      <c r="C5" s="9" t="s">
        <v>894</v>
      </c>
      <c r="D5" s="9" t="s">
        <v>92</v>
      </c>
      <c r="E5" s="9" t="s">
        <v>879</v>
      </c>
      <c r="F5" s="5" t="s">
        <v>895</v>
      </c>
      <c r="G5" s="5"/>
      <c r="H5" s="9" t="s">
        <v>896</v>
      </c>
      <c r="I5" s="9" t="s">
        <v>664</v>
      </c>
      <c r="J5" s="9" t="s">
        <v>897</v>
      </c>
      <c r="K5" s="9" t="s">
        <v>884</v>
      </c>
      <c r="L5" s="9" t="s">
        <v>44</v>
      </c>
      <c r="M5" s="9" t="s">
        <v>93</v>
      </c>
      <c r="N5" s="9" t="s">
        <v>93</v>
      </c>
      <c r="O5" s="9" t="s">
        <v>898</v>
      </c>
      <c r="P5" s="10" t="s">
        <v>555</v>
      </c>
      <c r="Q5" s="9"/>
      <c r="R5" s="9"/>
      <c r="S5" s="9"/>
      <c r="T5" s="9" t="s">
        <v>899</v>
      </c>
      <c r="U5" s="9"/>
      <c r="V5" s="5" t="s">
        <v>900</v>
      </c>
      <c r="W5" s="9" t="s">
        <v>63</v>
      </c>
      <c r="X5" s="9" t="s">
        <v>53</v>
      </c>
      <c r="Y5" s="9" t="n">
        <v>3</v>
      </c>
      <c r="Z5" s="5" t="s">
        <v>901</v>
      </c>
    </row>
    <row r="6" customFormat="false" ht="35.05" hidden="false" customHeight="false" outlineLevel="0" collapsed="false">
      <c r="A6" s="9" t="s">
        <v>675</v>
      </c>
      <c r="B6" s="5" t="s">
        <v>676</v>
      </c>
      <c r="C6" s="9" t="s">
        <v>677</v>
      </c>
      <c r="D6" s="9" t="s">
        <v>156</v>
      </c>
      <c r="E6" s="9" t="s">
        <v>879</v>
      </c>
      <c r="F6" s="5" t="s">
        <v>902</v>
      </c>
      <c r="G6" s="5"/>
      <c r="H6" s="9" t="s">
        <v>903</v>
      </c>
      <c r="I6" s="9" t="s">
        <v>664</v>
      </c>
      <c r="J6" s="9" t="s">
        <v>904</v>
      </c>
      <c r="K6" s="9" t="s">
        <v>884</v>
      </c>
      <c r="L6" s="9" t="s">
        <v>44</v>
      </c>
      <c r="M6" s="9" t="s">
        <v>905</v>
      </c>
      <c r="N6" s="9" t="s">
        <v>93</v>
      </c>
      <c r="O6" s="9" t="s">
        <v>906</v>
      </c>
      <c r="P6" s="10" t="s">
        <v>678</v>
      </c>
      <c r="Q6" s="9"/>
      <c r="R6" s="9"/>
      <c r="S6" s="9"/>
      <c r="T6" s="9" t="s">
        <v>907</v>
      </c>
      <c r="U6" s="9"/>
      <c r="V6" s="5" t="s">
        <v>908</v>
      </c>
      <c r="W6" s="9" t="s">
        <v>63</v>
      </c>
      <c r="X6" s="9" t="s">
        <v>53</v>
      </c>
      <c r="Y6" s="9" t="n">
        <v>3</v>
      </c>
      <c r="Z6" s="5" t="s">
        <v>909</v>
      </c>
    </row>
    <row r="7" customFormat="false" ht="46.25" hidden="false" customHeight="false" outlineLevel="0" collapsed="false">
      <c r="A7" s="9" t="s">
        <v>564</v>
      </c>
      <c r="B7" s="5" t="s">
        <v>565</v>
      </c>
      <c r="C7" s="9" t="s">
        <v>910</v>
      </c>
      <c r="D7" s="9" t="s">
        <v>156</v>
      </c>
      <c r="E7" s="9" t="s">
        <v>879</v>
      </c>
      <c r="F7" s="5" t="s">
        <v>911</v>
      </c>
      <c r="G7" s="5"/>
      <c r="H7" s="9" t="s">
        <v>912</v>
      </c>
      <c r="I7" s="9" t="s">
        <v>664</v>
      </c>
      <c r="J7" s="9" t="s">
        <v>913</v>
      </c>
      <c r="K7" s="9" t="s">
        <v>884</v>
      </c>
      <c r="L7" s="9" t="s">
        <v>44</v>
      </c>
      <c r="M7" s="9" t="s">
        <v>219</v>
      </c>
      <c r="N7" s="9" t="s">
        <v>93</v>
      </c>
      <c r="O7" s="9" t="s">
        <v>914</v>
      </c>
      <c r="P7" s="10" t="s">
        <v>915</v>
      </c>
      <c r="Q7" s="9"/>
      <c r="R7" s="9"/>
      <c r="S7" s="9"/>
      <c r="T7" s="9" t="s">
        <v>916</v>
      </c>
      <c r="U7" s="9" t="s">
        <v>570</v>
      </c>
      <c r="V7" s="5" t="s">
        <v>917</v>
      </c>
      <c r="W7" s="9" t="s">
        <v>64</v>
      </c>
      <c r="X7" s="9" t="s">
        <v>53</v>
      </c>
      <c r="Y7" s="9" t="n">
        <v>3</v>
      </c>
      <c r="Z7" s="5" t="s">
        <v>918</v>
      </c>
    </row>
    <row r="8" customFormat="false" ht="57.45" hidden="false" customHeight="false" outlineLevel="0" collapsed="false">
      <c r="A8" s="9" t="s">
        <v>250</v>
      </c>
      <c r="B8" s="5" t="s">
        <v>251</v>
      </c>
      <c r="C8" s="9" t="s">
        <v>252</v>
      </c>
      <c r="D8" s="9" t="s">
        <v>156</v>
      </c>
      <c r="E8" s="9" t="s">
        <v>879</v>
      </c>
      <c r="F8" s="5" t="s">
        <v>919</v>
      </c>
      <c r="G8" s="5" t="s">
        <v>920</v>
      </c>
      <c r="H8" s="9" t="s">
        <v>921</v>
      </c>
      <c r="I8" s="9" t="s">
        <v>255</v>
      </c>
      <c r="J8" s="9" t="s">
        <v>922</v>
      </c>
      <c r="K8" s="9" t="s">
        <v>884</v>
      </c>
      <c r="L8" s="9" t="s">
        <v>45</v>
      </c>
      <c r="M8" s="9" t="s">
        <v>254</v>
      </c>
      <c r="N8" s="9" t="s">
        <v>93</v>
      </c>
      <c r="O8" s="9" t="s">
        <v>923</v>
      </c>
      <c r="P8" s="10" t="s">
        <v>253</v>
      </c>
      <c r="Q8" s="9"/>
      <c r="R8" s="9" t="s">
        <v>257</v>
      </c>
      <c r="S8" s="9"/>
      <c r="T8" s="9" t="s">
        <v>256</v>
      </c>
      <c r="U8" s="9"/>
      <c r="V8" s="5" t="s">
        <v>924</v>
      </c>
      <c r="W8" s="9" t="s">
        <v>63</v>
      </c>
      <c r="X8" s="9"/>
      <c r="Y8" s="9" t="n">
        <v>2</v>
      </c>
      <c r="Z8" s="5" t="s">
        <v>258</v>
      </c>
    </row>
    <row r="9" customFormat="false" ht="57.45" hidden="false" customHeight="false" outlineLevel="0" collapsed="false">
      <c r="A9" s="9" t="s">
        <v>312</v>
      </c>
      <c r="B9" s="5" t="s">
        <v>313</v>
      </c>
      <c r="C9" s="9" t="s">
        <v>314</v>
      </c>
      <c r="D9" s="9" t="s">
        <v>156</v>
      </c>
      <c r="E9" s="9" t="s">
        <v>879</v>
      </c>
      <c r="F9" s="5" t="s">
        <v>925</v>
      </c>
      <c r="G9" s="5" t="s">
        <v>926</v>
      </c>
      <c r="H9" s="9" t="s">
        <v>927</v>
      </c>
      <c r="I9" s="9" t="s">
        <v>255</v>
      </c>
      <c r="J9" s="9" t="s">
        <v>928</v>
      </c>
      <c r="K9" s="9" t="s">
        <v>884</v>
      </c>
      <c r="L9" s="9" t="s">
        <v>45</v>
      </c>
      <c r="M9" s="9"/>
      <c r="N9" s="9" t="s">
        <v>93</v>
      </c>
      <c r="O9" s="9" t="s">
        <v>929</v>
      </c>
      <c r="P9" s="9"/>
      <c r="Q9" s="9"/>
      <c r="R9" s="9" t="s">
        <v>316</v>
      </c>
      <c r="S9" s="9"/>
      <c r="T9" s="9" t="s">
        <v>315</v>
      </c>
      <c r="U9" s="9"/>
      <c r="V9" s="5" t="s">
        <v>930</v>
      </c>
      <c r="W9" s="9" t="s">
        <v>63</v>
      </c>
      <c r="X9" s="9"/>
      <c r="Y9" s="9" t="n">
        <v>3</v>
      </c>
      <c r="Z9" s="5" t="s">
        <v>317</v>
      </c>
    </row>
    <row r="10" customFormat="false" ht="135.8" hidden="false" customHeight="false" outlineLevel="0" collapsed="false">
      <c r="A10" s="9" t="s">
        <v>639</v>
      </c>
      <c r="B10" s="5" t="s">
        <v>640</v>
      </c>
      <c r="C10" s="9" t="s">
        <v>931</v>
      </c>
      <c r="D10" s="9" t="s">
        <v>156</v>
      </c>
      <c r="E10" s="9" t="s">
        <v>879</v>
      </c>
      <c r="F10" s="5" t="s">
        <v>932</v>
      </c>
      <c r="G10" s="5" t="s">
        <v>933</v>
      </c>
      <c r="H10" s="9" t="s">
        <v>934</v>
      </c>
      <c r="I10" s="9" t="s">
        <v>935</v>
      </c>
      <c r="J10" s="9" t="s">
        <v>936</v>
      </c>
      <c r="K10" s="9" t="s">
        <v>884</v>
      </c>
      <c r="L10" s="9" t="s">
        <v>45</v>
      </c>
      <c r="M10" s="9" t="s">
        <v>937</v>
      </c>
      <c r="N10" s="9" t="s">
        <v>93</v>
      </c>
      <c r="O10" s="9" t="s">
        <v>938</v>
      </c>
      <c r="P10" s="10" t="s">
        <v>642</v>
      </c>
      <c r="Q10" s="9"/>
      <c r="R10" s="9" t="s">
        <v>646</v>
      </c>
      <c r="S10" s="9" t="s">
        <v>647</v>
      </c>
      <c r="T10" s="9" t="s">
        <v>939</v>
      </c>
      <c r="U10" s="9" t="s">
        <v>940</v>
      </c>
      <c r="V10" s="5" t="s">
        <v>941</v>
      </c>
      <c r="W10" s="9" t="s">
        <v>63</v>
      </c>
      <c r="X10" s="9" t="s">
        <v>53</v>
      </c>
      <c r="Y10" s="9" t="n">
        <v>7</v>
      </c>
      <c r="Z10" s="5" t="s">
        <v>942</v>
      </c>
    </row>
    <row r="11" customFormat="false" ht="57.45" hidden="false" customHeight="false" outlineLevel="0" collapsed="false">
      <c r="A11" s="9" t="s">
        <v>660</v>
      </c>
      <c r="B11" s="5" t="s">
        <v>661</v>
      </c>
      <c r="C11" s="9" t="s">
        <v>662</v>
      </c>
      <c r="D11" s="9" t="s">
        <v>156</v>
      </c>
      <c r="E11" s="9" t="s">
        <v>879</v>
      </c>
      <c r="F11" s="5" t="s">
        <v>943</v>
      </c>
      <c r="G11" s="5"/>
      <c r="H11" s="9" t="s">
        <v>944</v>
      </c>
      <c r="I11" s="9" t="s">
        <v>664</v>
      </c>
      <c r="J11" s="9" t="s">
        <v>913</v>
      </c>
      <c r="K11" s="9" t="s">
        <v>884</v>
      </c>
      <c r="L11" s="9" t="s">
        <v>47</v>
      </c>
      <c r="M11" s="9" t="s">
        <v>663</v>
      </c>
      <c r="N11" s="9" t="s">
        <v>93</v>
      </c>
      <c r="O11" s="9" t="s">
        <v>945</v>
      </c>
      <c r="P11" s="9"/>
      <c r="Q11" s="9"/>
      <c r="R11" s="9"/>
      <c r="S11" s="9"/>
      <c r="T11" s="9" t="s">
        <v>665</v>
      </c>
      <c r="U11" s="9"/>
      <c r="V11" s="5" t="s">
        <v>946</v>
      </c>
      <c r="W11" s="9" t="s">
        <v>64</v>
      </c>
      <c r="X11" s="9"/>
      <c r="Y11" s="9" t="n">
        <v>2</v>
      </c>
      <c r="Z11" s="5" t="s">
        <v>666</v>
      </c>
    </row>
    <row r="12" customFormat="false" ht="79.85" hidden="false" customHeight="false" outlineLevel="0" collapsed="false">
      <c r="A12" s="9" t="s">
        <v>518</v>
      </c>
      <c r="B12" s="5" t="s">
        <v>519</v>
      </c>
      <c r="C12" s="9" t="s">
        <v>947</v>
      </c>
      <c r="D12" s="9" t="s">
        <v>156</v>
      </c>
      <c r="E12" s="9" t="s">
        <v>879</v>
      </c>
      <c r="F12" s="5" t="s">
        <v>948</v>
      </c>
      <c r="G12" s="5" t="s">
        <v>949</v>
      </c>
      <c r="H12" s="9" t="s">
        <v>950</v>
      </c>
      <c r="I12" s="9" t="s">
        <v>255</v>
      </c>
      <c r="J12" s="9" t="s">
        <v>951</v>
      </c>
      <c r="K12" s="9" t="s">
        <v>884</v>
      </c>
      <c r="L12" s="9" t="s">
        <v>48</v>
      </c>
      <c r="M12" s="9" t="s">
        <v>952</v>
      </c>
      <c r="N12" s="9" t="s">
        <v>93</v>
      </c>
      <c r="O12" s="9" t="s">
        <v>953</v>
      </c>
      <c r="P12" s="9"/>
      <c r="Q12" s="9"/>
      <c r="R12" s="9" t="s">
        <v>954</v>
      </c>
      <c r="S12" s="9"/>
      <c r="T12" s="9" t="s">
        <v>955</v>
      </c>
      <c r="U12" s="9"/>
      <c r="V12" s="5" t="s">
        <v>956</v>
      </c>
      <c r="W12" s="9" t="s">
        <v>63</v>
      </c>
      <c r="X12" s="9" t="s">
        <v>53</v>
      </c>
      <c r="Y12" s="9" t="n">
        <v>6</v>
      </c>
      <c r="Z12" s="5" t="s">
        <v>957</v>
      </c>
    </row>
    <row r="13" customFormat="false" ht="46.25" hidden="false" customHeight="false" outlineLevel="0" collapsed="false">
      <c r="A13" s="9" t="s">
        <v>628</v>
      </c>
      <c r="B13" s="5" t="s">
        <v>629</v>
      </c>
      <c r="C13" s="9" t="s">
        <v>630</v>
      </c>
      <c r="D13" s="9" t="s">
        <v>92</v>
      </c>
      <c r="E13" s="9" t="s">
        <v>958</v>
      </c>
      <c r="F13" s="5" t="s">
        <v>959</v>
      </c>
      <c r="G13" s="5" t="s">
        <v>960</v>
      </c>
      <c r="H13" s="9"/>
      <c r="I13" s="9" t="s">
        <v>427</v>
      </c>
      <c r="J13" s="9" t="s">
        <v>961</v>
      </c>
      <c r="K13" s="9" t="s">
        <v>884</v>
      </c>
      <c r="L13" s="9" t="s">
        <v>46</v>
      </c>
      <c r="M13" s="9" t="s">
        <v>631</v>
      </c>
      <c r="N13" s="9" t="s">
        <v>93</v>
      </c>
      <c r="O13" s="9" t="s">
        <v>962</v>
      </c>
      <c r="P13" s="9"/>
      <c r="Q13" s="9"/>
      <c r="R13" s="9"/>
      <c r="S13" s="9"/>
      <c r="T13" s="9"/>
      <c r="U13" s="9"/>
      <c r="V13" s="5" t="s">
        <v>963</v>
      </c>
      <c r="W13" s="9" t="s">
        <v>63</v>
      </c>
      <c r="X13" s="9"/>
      <c r="Y13" s="9" t="n">
        <v>3</v>
      </c>
      <c r="Z13" s="5" t="s">
        <v>632</v>
      </c>
    </row>
    <row r="14" customFormat="false" ht="68.65" hidden="false" customHeight="false" outlineLevel="0" collapsed="false">
      <c r="A14" s="9" t="s">
        <v>422</v>
      </c>
      <c r="B14" s="5" t="s">
        <v>423</v>
      </c>
      <c r="C14" s="9" t="s">
        <v>424</v>
      </c>
      <c r="D14" s="9" t="s">
        <v>92</v>
      </c>
      <c r="E14" s="9" t="s">
        <v>958</v>
      </c>
      <c r="F14" s="5" t="s">
        <v>964</v>
      </c>
      <c r="G14" s="5" t="s">
        <v>965</v>
      </c>
      <c r="H14" s="9" t="s">
        <v>966</v>
      </c>
      <c r="I14" s="9" t="s">
        <v>427</v>
      </c>
      <c r="J14" s="9" t="s">
        <v>967</v>
      </c>
      <c r="K14" s="9" t="s">
        <v>884</v>
      </c>
      <c r="L14" s="9" t="s">
        <v>50</v>
      </c>
      <c r="M14" s="9" t="s">
        <v>426</v>
      </c>
      <c r="N14" s="9" t="s">
        <v>93</v>
      </c>
      <c r="O14" s="9" t="s">
        <v>968</v>
      </c>
      <c r="P14" s="10" t="s">
        <v>425</v>
      </c>
      <c r="Q14" s="9"/>
      <c r="R14" s="9" t="s">
        <v>429</v>
      </c>
      <c r="S14" s="9"/>
      <c r="T14" s="9" t="s">
        <v>428</v>
      </c>
      <c r="U14" s="9"/>
      <c r="V14" s="5" t="s">
        <v>969</v>
      </c>
      <c r="W14" s="9" t="s">
        <v>63</v>
      </c>
      <c r="X14" s="9"/>
      <c r="Y14" s="9" t="n">
        <v>5</v>
      </c>
      <c r="Z14" s="5" t="s">
        <v>430</v>
      </c>
    </row>
    <row r="15" customFormat="false" ht="68.65" hidden="false" customHeight="false" outlineLevel="0" collapsed="false">
      <c r="A15" s="9" t="s">
        <v>431</v>
      </c>
      <c r="B15" s="5" t="s">
        <v>432</v>
      </c>
      <c r="C15" s="9" t="s">
        <v>433</v>
      </c>
      <c r="D15" s="9" t="s">
        <v>92</v>
      </c>
      <c r="E15" s="9" t="s">
        <v>958</v>
      </c>
      <c r="F15" s="5" t="s">
        <v>970</v>
      </c>
      <c r="G15" s="5"/>
      <c r="H15" s="9"/>
      <c r="I15" s="9" t="s">
        <v>427</v>
      </c>
      <c r="J15" s="9" t="s">
        <v>971</v>
      </c>
      <c r="K15" s="9" t="s">
        <v>884</v>
      </c>
      <c r="L15" s="9" t="s">
        <v>50</v>
      </c>
      <c r="M15" s="9" t="s">
        <v>426</v>
      </c>
      <c r="N15" s="9" t="s">
        <v>93</v>
      </c>
      <c r="O15" s="9"/>
      <c r="P15" s="10" t="s">
        <v>434</v>
      </c>
      <c r="Q15" s="9"/>
      <c r="R15" s="9"/>
      <c r="S15" s="9"/>
      <c r="T15" s="9" t="s">
        <v>435</v>
      </c>
      <c r="U15" s="9"/>
      <c r="V15" s="5" t="s">
        <v>972</v>
      </c>
      <c r="W15" s="9" t="s">
        <v>64</v>
      </c>
      <c r="X15" s="9"/>
      <c r="Y15" s="9" t="n">
        <v>4</v>
      </c>
      <c r="Z15" s="5" t="s">
        <v>436</v>
      </c>
    </row>
  </sheetData>
  <hyperlinks>
    <hyperlink ref="P3" r:id="rId1" display="https://www.ambujagroup.com/"/>
    <hyperlink ref="P4" r:id="rId2" display="https://riddhisiddhi.co.in/"/>
    <hyperlink ref="P5" r:id="rId3" display="https://www.roquette.com/"/>
    <hyperlink ref="P6" r:id="rId4" display="https://www.universalstarch.com/"/>
    <hyperlink ref="P7" r:id="rId5" display="https://www.sayajigroup.in/"/>
    <hyperlink ref="P8" r:id="rId6" display="https://eicl.in"/>
    <hyperlink ref="P10" r:id="rId7" display="https://www.sukhjitgroup.com/"/>
    <hyperlink ref="P14" r:id="rId8" display="https://www.nafed-india.com"/>
    <hyperlink ref="P15" r:id="rId9" display="https://nccf-india.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7" min="6" style="0" width="5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26"/>
    <col collapsed="false" customWidth="true" hidden="false" outlineLevel="0" max="14" min="14" style="0" width="12"/>
    <col collapsed="false" customWidth="true" hidden="false" outlineLevel="0" max="16" min="15" style="0" width="30"/>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1" min="20" style="0" width="28"/>
    <col collapsed="false" customWidth="true" hidden="false" outlineLevel="0" max="22" min="22" style="0" width="55"/>
    <col collapsed="false" customWidth="true" hidden="false" outlineLevel="0" max="23" min="23" style="0" width="11"/>
    <col collapsed="false" customWidth="true" hidden="false" outlineLevel="0" max="24" min="24" style="0" width="26"/>
    <col collapsed="false" customWidth="true" hidden="false" outlineLevel="0" max="25" min="25" style="0" width="9"/>
    <col collapsed="false" customWidth="true" hidden="false" outlineLevel="0" max="26" min="26" style="0" width="60"/>
  </cols>
  <sheetData>
    <row r="1" customFormat="false" ht="15" hidden="false" customHeight="false" outlineLevel="0" collapsed="false">
      <c r="A1" s="7" t="s">
        <v>973</v>
      </c>
    </row>
    <row r="2" customFormat="false" ht="31.5" hidden="false" customHeight="true" outlineLevel="0" collapsed="false">
      <c r="A2" s="6" t="s">
        <v>72</v>
      </c>
      <c r="B2" s="6" t="s">
        <v>73</v>
      </c>
      <c r="C2" s="6" t="s">
        <v>74</v>
      </c>
      <c r="D2" s="6" t="s">
        <v>30</v>
      </c>
      <c r="E2" s="6" t="s">
        <v>703</v>
      </c>
      <c r="F2" s="6" t="s">
        <v>704</v>
      </c>
      <c r="G2" s="6" t="s">
        <v>705</v>
      </c>
      <c r="H2" s="6" t="s">
        <v>706</v>
      </c>
      <c r="I2" s="6" t="s">
        <v>707</v>
      </c>
      <c r="J2" s="6" t="s">
        <v>708</v>
      </c>
      <c r="K2" s="6" t="s">
        <v>34</v>
      </c>
      <c r="L2" s="6" t="s">
        <v>78</v>
      </c>
      <c r="M2" s="6" t="s">
        <v>76</v>
      </c>
      <c r="N2" s="6" t="s">
        <v>77</v>
      </c>
      <c r="O2" s="6" t="s">
        <v>709</v>
      </c>
      <c r="P2" s="6" t="s">
        <v>75</v>
      </c>
      <c r="Q2" s="6" t="s">
        <v>86</v>
      </c>
      <c r="R2" s="6" t="s">
        <v>83</v>
      </c>
      <c r="S2" s="6" t="s">
        <v>84</v>
      </c>
      <c r="T2" s="6" t="s">
        <v>82</v>
      </c>
      <c r="U2" s="6" t="s">
        <v>85</v>
      </c>
      <c r="V2" s="6" t="s">
        <v>710</v>
      </c>
      <c r="W2" s="6" t="s">
        <v>32</v>
      </c>
      <c r="X2" s="6" t="s">
        <v>711</v>
      </c>
      <c r="Y2" s="6" t="s">
        <v>88</v>
      </c>
      <c r="Z2" s="6" t="s">
        <v>14</v>
      </c>
    </row>
    <row r="3" customFormat="false" ht="46.25" hidden="false" customHeight="false" outlineLevel="0" collapsed="false">
      <c r="A3" s="9" t="s">
        <v>528</v>
      </c>
      <c r="B3" s="5" t="s">
        <v>529</v>
      </c>
      <c r="C3" s="9" t="s">
        <v>530</v>
      </c>
      <c r="D3" s="9" t="s">
        <v>156</v>
      </c>
      <c r="E3" s="9" t="s">
        <v>974</v>
      </c>
      <c r="F3" s="5" t="s">
        <v>975</v>
      </c>
      <c r="G3" s="5" t="s">
        <v>976</v>
      </c>
      <c r="H3" s="9" t="s">
        <v>977</v>
      </c>
      <c r="I3" s="9" t="s">
        <v>532</v>
      </c>
      <c r="J3" s="9" t="s">
        <v>978</v>
      </c>
      <c r="K3" s="9" t="s">
        <v>65</v>
      </c>
      <c r="L3" s="9" t="s">
        <v>50</v>
      </c>
      <c r="M3" s="9" t="s">
        <v>113</v>
      </c>
      <c r="N3" s="9" t="s">
        <v>93</v>
      </c>
      <c r="O3" s="9"/>
      <c r="P3" s="10" t="s">
        <v>531</v>
      </c>
      <c r="Q3" s="9"/>
      <c r="R3" s="9"/>
      <c r="S3" s="9"/>
      <c r="T3" s="9" t="s">
        <v>533</v>
      </c>
      <c r="U3" s="9"/>
      <c r="V3" s="5" t="s">
        <v>979</v>
      </c>
      <c r="W3" s="9" t="s">
        <v>63</v>
      </c>
      <c r="X3" s="9"/>
      <c r="Y3" s="9" t="n">
        <v>6</v>
      </c>
      <c r="Z3" s="5" t="s">
        <v>534</v>
      </c>
    </row>
    <row r="4" customFormat="false" ht="23.85" hidden="false" customHeight="false" outlineLevel="0" collapsed="false">
      <c r="A4" s="9" t="s">
        <v>362</v>
      </c>
      <c r="B4" s="5" t="s">
        <v>363</v>
      </c>
      <c r="C4" s="9" t="s">
        <v>364</v>
      </c>
      <c r="D4" s="9" t="s">
        <v>156</v>
      </c>
      <c r="E4" s="9" t="s">
        <v>974</v>
      </c>
      <c r="F4" s="5" t="s">
        <v>980</v>
      </c>
      <c r="G4" s="5" t="s">
        <v>981</v>
      </c>
      <c r="H4" s="9"/>
      <c r="I4" s="9" t="s">
        <v>114</v>
      </c>
      <c r="J4" s="9" t="s">
        <v>982</v>
      </c>
      <c r="K4" s="9" t="s">
        <v>66</v>
      </c>
      <c r="L4" s="9" t="s">
        <v>48</v>
      </c>
      <c r="M4" s="9"/>
      <c r="N4" s="9" t="s">
        <v>93</v>
      </c>
      <c r="O4" s="9" t="s">
        <v>983</v>
      </c>
      <c r="P4" s="10" t="s">
        <v>365</v>
      </c>
      <c r="Q4" s="9"/>
      <c r="R4" s="9"/>
      <c r="S4" s="9"/>
      <c r="T4" s="9" t="s">
        <v>366</v>
      </c>
      <c r="U4" s="9"/>
      <c r="V4" s="5" t="s">
        <v>984</v>
      </c>
      <c r="W4" s="9" t="s">
        <v>63</v>
      </c>
      <c r="X4" s="9"/>
      <c r="Y4" s="9" t="n">
        <v>3</v>
      </c>
      <c r="Z4" s="5" t="s">
        <v>367</v>
      </c>
    </row>
    <row r="5" customFormat="false" ht="35.05" hidden="false" customHeight="false" outlineLevel="0" collapsed="false">
      <c r="A5" s="9" t="s">
        <v>194</v>
      </c>
      <c r="B5" s="5" t="s">
        <v>195</v>
      </c>
      <c r="C5" s="9" t="s">
        <v>985</v>
      </c>
      <c r="D5" s="9" t="s">
        <v>92</v>
      </c>
      <c r="E5" s="9" t="s">
        <v>986</v>
      </c>
      <c r="F5" s="5" t="s">
        <v>987</v>
      </c>
      <c r="G5" s="5" t="s">
        <v>988</v>
      </c>
      <c r="H5" s="9"/>
      <c r="I5" s="9" t="s">
        <v>243</v>
      </c>
      <c r="J5" s="9"/>
      <c r="K5" s="9" t="s">
        <v>66</v>
      </c>
      <c r="L5" s="9" t="s">
        <v>44</v>
      </c>
      <c r="M5" s="9"/>
      <c r="N5" s="9" t="s">
        <v>93</v>
      </c>
      <c r="O5" s="9" t="s">
        <v>989</v>
      </c>
      <c r="P5" s="10" t="s">
        <v>197</v>
      </c>
      <c r="Q5" s="9"/>
      <c r="R5" s="9"/>
      <c r="S5" s="9"/>
      <c r="T5" s="9"/>
      <c r="U5" s="9"/>
      <c r="V5" s="5" t="s">
        <v>990</v>
      </c>
      <c r="W5" s="9" t="s">
        <v>64</v>
      </c>
      <c r="X5" s="9" t="s">
        <v>56</v>
      </c>
      <c r="Y5" s="9" t="n">
        <v>1</v>
      </c>
      <c r="Z5" s="9" t="s">
        <v>991</v>
      </c>
    </row>
    <row r="6" customFormat="false" ht="46.25" hidden="false" customHeight="false" outlineLevel="0" collapsed="false">
      <c r="A6" s="9" t="s">
        <v>617</v>
      </c>
      <c r="B6" s="5" t="s">
        <v>618</v>
      </c>
      <c r="C6" s="9" t="s">
        <v>619</v>
      </c>
      <c r="D6" s="9" t="s">
        <v>92</v>
      </c>
      <c r="E6" s="9" t="s">
        <v>986</v>
      </c>
      <c r="F6" s="5" t="s">
        <v>992</v>
      </c>
      <c r="G6" s="5" t="s">
        <v>993</v>
      </c>
      <c r="H6" s="9"/>
      <c r="I6" s="9" t="s">
        <v>274</v>
      </c>
      <c r="J6" s="9" t="s">
        <v>994</v>
      </c>
      <c r="K6" s="9" t="s">
        <v>66</v>
      </c>
      <c r="L6" s="9" t="s">
        <v>46</v>
      </c>
      <c r="M6" s="9"/>
      <c r="N6" s="9" t="s">
        <v>93</v>
      </c>
      <c r="O6" s="9"/>
      <c r="P6" s="9"/>
      <c r="Q6" s="9"/>
      <c r="R6" s="9" t="s">
        <v>621</v>
      </c>
      <c r="S6" s="9"/>
      <c r="T6" s="9" t="s">
        <v>620</v>
      </c>
      <c r="U6" s="9"/>
      <c r="V6" s="5" t="s">
        <v>995</v>
      </c>
      <c r="W6" s="9" t="s">
        <v>63</v>
      </c>
      <c r="X6" s="9"/>
      <c r="Y6" s="9" t="n">
        <v>6</v>
      </c>
      <c r="Z6" s="5" t="s">
        <v>622</v>
      </c>
    </row>
    <row r="7" customFormat="false" ht="57.45" hidden="false" customHeight="false" outlineLevel="0" collapsed="false">
      <c r="A7" s="9" t="s">
        <v>240</v>
      </c>
      <c r="B7" s="5" t="s">
        <v>241</v>
      </c>
      <c r="C7" s="9" t="s">
        <v>242</v>
      </c>
      <c r="D7" s="9" t="s">
        <v>92</v>
      </c>
      <c r="E7" s="9" t="s">
        <v>986</v>
      </c>
      <c r="F7" s="5" t="s">
        <v>996</v>
      </c>
      <c r="G7" s="5" t="s">
        <v>988</v>
      </c>
      <c r="H7" s="9" t="s">
        <v>997</v>
      </c>
      <c r="I7" s="9" t="s">
        <v>243</v>
      </c>
      <c r="J7" s="9" t="s">
        <v>998</v>
      </c>
      <c r="K7" s="9" t="s">
        <v>66</v>
      </c>
      <c r="L7" s="9" t="s">
        <v>50</v>
      </c>
      <c r="M7" s="9"/>
      <c r="N7" s="9" t="s">
        <v>93</v>
      </c>
      <c r="O7" s="9" t="s">
        <v>999</v>
      </c>
      <c r="P7" s="9"/>
      <c r="Q7" s="9"/>
      <c r="R7" s="9"/>
      <c r="S7" s="9"/>
      <c r="T7" s="9" t="s">
        <v>244</v>
      </c>
      <c r="U7" s="9"/>
      <c r="V7" s="5" t="s">
        <v>1000</v>
      </c>
      <c r="W7" s="9" t="s">
        <v>63</v>
      </c>
      <c r="X7" s="9"/>
      <c r="Y7" s="9" t="n">
        <v>5</v>
      </c>
      <c r="Z7" s="5" t="s">
        <v>245</v>
      </c>
    </row>
    <row r="8" customFormat="false" ht="46.25" hidden="false" customHeight="false" outlineLevel="0" collapsed="false">
      <c r="A8" s="9" t="s">
        <v>271</v>
      </c>
      <c r="B8" s="5" t="s">
        <v>272</v>
      </c>
      <c r="C8" s="9" t="s">
        <v>273</v>
      </c>
      <c r="D8" s="9" t="s">
        <v>92</v>
      </c>
      <c r="E8" s="9" t="s">
        <v>986</v>
      </c>
      <c r="F8" s="5" t="s">
        <v>1001</v>
      </c>
      <c r="G8" s="5" t="s">
        <v>1002</v>
      </c>
      <c r="H8" s="9" t="s">
        <v>1003</v>
      </c>
      <c r="I8" s="9" t="s">
        <v>274</v>
      </c>
      <c r="J8" s="9" t="s">
        <v>1004</v>
      </c>
      <c r="K8" s="9" t="s">
        <v>66</v>
      </c>
      <c r="L8" s="9" t="s">
        <v>50</v>
      </c>
      <c r="M8" s="9"/>
      <c r="N8" s="9" t="s">
        <v>93</v>
      </c>
      <c r="O8" s="9" t="s">
        <v>1005</v>
      </c>
      <c r="P8" s="9"/>
      <c r="Q8" s="9"/>
      <c r="R8" s="9"/>
      <c r="S8" s="9"/>
      <c r="T8" s="9" t="s">
        <v>275</v>
      </c>
      <c r="U8" s="9"/>
      <c r="V8" s="5" t="s">
        <v>1006</v>
      </c>
      <c r="W8" s="9" t="s">
        <v>63</v>
      </c>
      <c r="X8" s="9"/>
      <c r="Y8" s="9" t="n">
        <v>4</v>
      </c>
      <c r="Z8" s="5" t="s">
        <v>276</v>
      </c>
    </row>
    <row r="9" customFormat="false" ht="23.85" hidden="false" customHeight="false" outlineLevel="0" collapsed="false">
      <c r="A9" s="9" t="s">
        <v>559</v>
      </c>
      <c r="B9" s="5" t="s">
        <v>560</v>
      </c>
      <c r="C9" s="9" t="s">
        <v>561</v>
      </c>
      <c r="D9" s="9" t="s">
        <v>156</v>
      </c>
      <c r="E9" s="9" t="s">
        <v>986</v>
      </c>
      <c r="F9" s="5" t="s">
        <v>1007</v>
      </c>
      <c r="G9" s="5" t="s">
        <v>988</v>
      </c>
      <c r="H9" s="9"/>
      <c r="I9" s="9" t="s">
        <v>243</v>
      </c>
      <c r="J9" s="9" t="s">
        <v>1008</v>
      </c>
      <c r="K9" s="9" t="s">
        <v>66</v>
      </c>
      <c r="L9" s="9" t="s">
        <v>51</v>
      </c>
      <c r="M9" s="9"/>
      <c r="N9" s="9" t="s">
        <v>562</v>
      </c>
      <c r="O9" s="9"/>
      <c r="P9" s="9"/>
      <c r="Q9" s="9"/>
      <c r="R9" s="9"/>
      <c r="S9" s="9"/>
      <c r="T9" s="9"/>
      <c r="U9" s="9"/>
      <c r="V9" s="5" t="s">
        <v>1009</v>
      </c>
      <c r="W9" s="9" t="s">
        <v>63</v>
      </c>
      <c r="X9" s="9"/>
      <c r="Y9" s="9" t="n">
        <v>1</v>
      </c>
      <c r="Z9" s="9" t="s">
        <v>563</v>
      </c>
    </row>
  </sheetData>
  <hyperlinks>
    <hyperlink ref="P3" r:id="rId1" display="https://www.ril.com"/>
    <hyperlink ref="P4" r:id="rId2" display="https://www.indoramaventures.com/en/worldwide/2001/ivl-dhunseri-petrochem-industries-private-limited"/>
    <hyperlink ref="P5" r:id="rId3" display="https://www.chemcogroup.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7" min="6" style="0" width="5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26"/>
    <col collapsed="false" customWidth="true" hidden="false" outlineLevel="0" max="14" min="14" style="0" width="12"/>
    <col collapsed="false" customWidth="true" hidden="false" outlineLevel="0" max="16" min="15" style="0" width="30"/>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1" min="20" style="0" width="28"/>
    <col collapsed="false" customWidth="true" hidden="false" outlineLevel="0" max="22" min="22" style="0" width="55"/>
    <col collapsed="false" customWidth="true" hidden="false" outlineLevel="0" max="23" min="23" style="0" width="11"/>
    <col collapsed="false" customWidth="true" hidden="false" outlineLevel="0" max="24" min="24" style="0" width="26"/>
    <col collapsed="false" customWidth="true" hidden="false" outlineLevel="0" max="25" min="25" style="0" width="9"/>
    <col collapsed="false" customWidth="true" hidden="false" outlineLevel="0" max="26" min="26" style="0" width="60"/>
  </cols>
  <sheetData>
    <row r="1" customFormat="false" ht="15" hidden="false" customHeight="false" outlineLevel="0" collapsed="false">
      <c r="A1" s="7" t="s">
        <v>1010</v>
      </c>
    </row>
    <row r="2" customFormat="false" ht="31.5" hidden="false" customHeight="true" outlineLevel="0" collapsed="false">
      <c r="A2" s="6" t="s">
        <v>72</v>
      </c>
      <c r="B2" s="6" t="s">
        <v>73</v>
      </c>
      <c r="C2" s="6" t="s">
        <v>74</v>
      </c>
      <c r="D2" s="6" t="s">
        <v>30</v>
      </c>
      <c r="E2" s="6" t="s">
        <v>703</v>
      </c>
      <c r="F2" s="6" t="s">
        <v>704</v>
      </c>
      <c r="G2" s="6" t="s">
        <v>705</v>
      </c>
      <c r="H2" s="6" t="s">
        <v>706</v>
      </c>
      <c r="I2" s="6" t="s">
        <v>707</v>
      </c>
      <c r="J2" s="6" t="s">
        <v>708</v>
      </c>
      <c r="K2" s="6" t="s">
        <v>34</v>
      </c>
      <c r="L2" s="6" t="s">
        <v>78</v>
      </c>
      <c r="M2" s="6" t="s">
        <v>76</v>
      </c>
      <c r="N2" s="6" t="s">
        <v>77</v>
      </c>
      <c r="O2" s="6" t="s">
        <v>709</v>
      </c>
      <c r="P2" s="6" t="s">
        <v>75</v>
      </c>
      <c r="Q2" s="6" t="s">
        <v>86</v>
      </c>
      <c r="R2" s="6" t="s">
        <v>83</v>
      </c>
      <c r="S2" s="6" t="s">
        <v>84</v>
      </c>
      <c r="T2" s="6" t="s">
        <v>82</v>
      </c>
      <c r="U2" s="6" t="s">
        <v>85</v>
      </c>
      <c r="V2" s="6" t="s">
        <v>710</v>
      </c>
      <c r="W2" s="6" t="s">
        <v>32</v>
      </c>
      <c r="X2" s="6" t="s">
        <v>711</v>
      </c>
      <c r="Y2" s="6" t="s">
        <v>88</v>
      </c>
      <c r="Z2" s="6" t="s">
        <v>14</v>
      </c>
    </row>
    <row r="3" customFormat="false" ht="79.85" hidden="false" customHeight="false" outlineLevel="0" collapsed="false">
      <c r="A3" s="9" t="s">
        <v>194</v>
      </c>
      <c r="B3" s="5" t="s">
        <v>195</v>
      </c>
      <c r="C3" s="9" t="s">
        <v>1011</v>
      </c>
      <c r="D3" s="9" t="s">
        <v>92</v>
      </c>
      <c r="E3" s="9" t="s">
        <v>1012</v>
      </c>
      <c r="F3" s="5" t="s">
        <v>1013</v>
      </c>
      <c r="G3" s="5" t="s">
        <v>1014</v>
      </c>
      <c r="H3" s="9"/>
      <c r="I3" s="9" t="s">
        <v>532</v>
      </c>
      <c r="J3" s="9" t="s">
        <v>1015</v>
      </c>
      <c r="K3" s="9" t="s">
        <v>65</v>
      </c>
      <c r="L3" s="9" t="s">
        <v>44</v>
      </c>
      <c r="M3" s="9"/>
      <c r="N3" s="9" t="s">
        <v>93</v>
      </c>
      <c r="O3" s="9" t="s">
        <v>1016</v>
      </c>
      <c r="P3" s="9"/>
      <c r="Q3" s="9" t="s">
        <v>201</v>
      </c>
      <c r="R3" s="9"/>
      <c r="S3" s="9"/>
      <c r="T3" s="9" t="s">
        <v>200</v>
      </c>
      <c r="U3" s="9"/>
      <c r="V3" s="5" t="s">
        <v>1017</v>
      </c>
      <c r="W3" s="9" t="s">
        <v>63</v>
      </c>
      <c r="X3" s="9" t="s">
        <v>55</v>
      </c>
      <c r="Y3" s="9" t="n">
        <v>6</v>
      </c>
      <c r="Z3" s="5" t="s">
        <v>1018</v>
      </c>
    </row>
    <row r="4" customFormat="false" ht="124.6" hidden="false" customHeight="false" outlineLevel="0" collapsed="false">
      <c r="A4" s="9" t="s">
        <v>464</v>
      </c>
      <c r="B4" s="5" t="s">
        <v>465</v>
      </c>
      <c r="C4" s="9" t="s">
        <v>466</v>
      </c>
      <c r="D4" s="9" t="s">
        <v>156</v>
      </c>
      <c r="E4" s="9" t="s">
        <v>1012</v>
      </c>
      <c r="F4" s="5" t="s">
        <v>1019</v>
      </c>
      <c r="G4" s="5"/>
      <c r="H4" s="9"/>
      <c r="I4" s="9" t="s">
        <v>468</v>
      </c>
      <c r="J4" s="9"/>
      <c r="K4" s="9" t="s">
        <v>65</v>
      </c>
      <c r="L4" s="9" t="s">
        <v>45</v>
      </c>
      <c r="M4" s="9" t="s">
        <v>467</v>
      </c>
      <c r="N4" s="9" t="s">
        <v>93</v>
      </c>
      <c r="O4" s="9"/>
      <c r="P4" s="9"/>
      <c r="Q4" s="9"/>
      <c r="R4" s="9"/>
      <c r="S4" s="9"/>
      <c r="T4" s="9" t="s">
        <v>469</v>
      </c>
      <c r="U4" s="9"/>
      <c r="V4" s="5" t="s">
        <v>1020</v>
      </c>
      <c r="W4" s="9" t="s">
        <v>63</v>
      </c>
      <c r="X4" s="9"/>
      <c r="Y4" s="9" t="n">
        <v>5</v>
      </c>
      <c r="Z4" s="5" t="s">
        <v>470</v>
      </c>
    </row>
    <row r="5" customFormat="false" ht="202.95" hidden="false" customHeight="false" outlineLevel="0" collapsed="false">
      <c r="A5" s="9" t="s">
        <v>398</v>
      </c>
      <c r="B5" s="5" t="s">
        <v>399</v>
      </c>
      <c r="C5" s="9" t="s">
        <v>400</v>
      </c>
      <c r="D5" s="9" t="s">
        <v>156</v>
      </c>
      <c r="E5" s="9" t="s">
        <v>1012</v>
      </c>
      <c r="F5" s="5" t="s">
        <v>1021</v>
      </c>
      <c r="G5" s="5" t="s">
        <v>1022</v>
      </c>
      <c r="H5" s="9" t="s">
        <v>1023</v>
      </c>
      <c r="I5" s="9" t="s">
        <v>114</v>
      </c>
      <c r="J5" s="9" t="s">
        <v>1024</v>
      </c>
      <c r="K5" s="9" t="s">
        <v>65</v>
      </c>
      <c r="L5" s="9" t="s">
        <v>50</v>
      </c>
      <c r="M5" s="9" t="s">
        <v>402</v>
      </c>
      <c r="N5" s="9" t="s">
        <v>93</v>
      </c>
      <c r="O5" s="9" t="s">
        <v>1025</v>
      </c>
      <c r="P5" s="10" t="s">
        <v>1026</v>
      </c>
      <c r="Q5" s="9"/>
      <c r="R5" s="9"/>
      <c r="S5" s="9"/>
      <c r="T5" s="9" t="s">
        <v>1027</v>
      </c>
      <c r="U5" s="9"/>
      <c r="V5" s="5" t="s">
        <v>1028</v>
      </c>
      <c r="W5" s="9" t="s">
        <v>63</v>
      </c>
      <c r="X5" s="9" t="s">
        <v>57</v>
      </c>
      <c r="Y5" s="9" t="n">
        <v>17</v>
      </c>
      <c r="Z5" s="5" t="s">
        <v>1029</v>
      </c>
    </row>
    <row r="6" customFormat="false" ht="46.25" hidden="false" customHeight="false" outlineLevel="0" collapsed="false">
      <c r="A6" s="9" t="s">
        <v>471</v>
      </c>
      <c r="B6" s="5" t="s">
        <v>360</v>
      </c>
      <c r="C6" s="9" t="s">
        <v>360</v>
      </c>
      <c r="D6" s="9" t="s">
        <v>92</v>
      </c>
      <c r="E6" s="9" t="s">
        <v>1012</v>
      </c>
      <c r="F6" s="5" t="s">
        <v>1030</v>
      </c>
      <c r="G6" s="5" t="s">
        <v>1031</v>
      </c>
      <c r="H6" s="9"/>
      <c r="I6" s="9" t="s">
        <v>114</v>
      </c>
      <c r="J6" s="9" t="s">
        <v>1032</v>
      </c>
      <c r="K6" s="9" t="s">
        <v>65</v>
      </c>
      <c r="L6" s="9" t="s">
        <v>51</v>
      </c>
      <c r="M6" s="9"/>
      <c r="N6" s="9"/>
      <c r="O6" s="9"/>
      <c r="P6" s="10" t="s">
        <v>472</v>
      </c>
      <c r="Q6" s="9"/>
      <c r="R6" s="9"/>
      <c r="S6" s="9"/>
      <c r="T6" s="9"/>
      <c r="U6" s="9"/>
      <c r="V6" s="5" t="s">
        <v>1033</v>
      </c>
      <c r="W6" s="9" t="s">
        <v>63</v>
      </c>
      <c r="X6" s="9"/>
      <c r="Y6" s="9" t="n">
        <v>1</v>
      </c>
      <c r="Z6" s="9" t="s">
        <v>473</v>
      </c>
    </row>
    <row r="7" customFormat="false" ht="79.85" hidden="false" customHeight="false" outlineLevel="0" collapsed="false">
      <c r="A7" s="9" t="s">
        <v>582</v>
      </c>
      <c r="B7" s="5" t="s">
        <v>583</v>
      </c>
      <c r="C7" s="9" t="s">
        <v>584</v>
      </c>
      <c r="D7" s="9" t="s">
        <v>92</v>
      </c>
      <c r="E7" s="9" t="s">
        <v>1034</v>
      </c>
      <c r="F7" s="5" t="s">
        <v>1035</v>
      </c>
      <c r="G7" s="5" t="s">
        <v>1036</v>
      </c>
      <c r="H7" s="9"/>
      <c r="I7" s="9" t="s">
        <v>586</v>
      </c>
      <c r="J7" s="9" t="s">
        <v>734</v>
      </c>
      <c r="K7" s="9" t="s">
        <v>65</v>
      </c>
      <c r="L7" s="9" t="s">
        <v>44</v>
      </c>
      <c r="M7" s="9" t="s">
        <v>341</v>
      </c>
      <c r="N7" s="9" t="s">
        <v>93</v>
      </c>
      <c r="O7" s="9" t="s">
        <v>1037</v>
      </c>
      <c r="P7" s="10" t="s">
        <v>585</v>
      </c>
      <c r="Q7" s="9"/>
      <c r="R7" s="9"/>
      <c r="S7" s="9"/>
      <c r="T7" s="9"/>
      <c r="U7" s="9"/>
      <c r="V7" s="5" t="s">
        <v>1038</v>
      </c>
      <c r="W7" s="9" t="s">
        <v>63</v>
      </c>
      <c r="X7" s="9"/>
      <c r="Y7" s="9" t="n">
        <v>2</v>
      </c>
      <c r="Z7" s="5" t="s">
        <v>587</v>
      </c>
    </row>
    <row r="8" customFormat="false" ht="68.65" hidden="false" customHeight="false" outlineLevel="0" collapsed="false">
      <c r="A8" s="9" t="s">
        <v>411</v>
      </c>
      <c r="B8" s="5" t="s">
        <v>412</v>
      </c>
      <c r="C8" s="9" t="s">
        <v>413</v>
      </c>
      <c r="D8" s="9" t="s">
        <v>92</v>
      </c>
      <c r="E8" s="9" t="s">
        <v>1034</v>
      </c>
      <c r="F8" s="5" t="s">
        <v>1039</v>
      </c>
      <c r="G8" s="5"/>
      <c r="H8" s="9"/>
      <c r="I8" s="9" t="s">
        <v>94</v>
      </c>
      <c r="J8" s="9"/>
      <c r="K8" s="9" t="s">
        <v>65</v>
      </c>
      <c r="L8" s="9" t="s">
        <v>44</v>
      </c>
      <c r="M8" s="9" t="s">
        <v>414</v>
      </c>
      <c r="N8" s="9" t="s">
        <v>93</v>
      </c>
      <c r="O8" s="9"/>
      <c r="P8" s="9"/>
      <c r="Q8" s="9"/>
      <c r="R8" s="9"/>
      <c r="S8" s="9"/>
      <c r="T8" s="9"/>
      <c r="U8" s="9"/>
      <c r="V8" s="5" t="s">
        <v>1040</v>
      </c>
      <c r="W8" s="9" t="s">
        <v>64</v>
      </c>
      <c r="X8" s="9"/>
      <c r="Y8" s="9" t="n">
        <v>1</v>
      </c>
      <c r="Z8" s="9" t="s">
        <v>415</v>
      </c>
    </row>
    <row r="9" customFormat="false" ht="57.45" hidden="false" customHeight="false" outlineLevel="0" collapsed="false">
      <c r="A9" s="9" t="s">
        <v>484</v>
      </c>
      <c r="B9" s="5" t="s">
        <v>485</v>
      </c>
      <c r="C9" s="9" t="s">
        <v>485</v>
      </c>
      <c r="D9" s="9" t="s">
        <v>92</v>
      </c>
      <c r="E9" s="9" t="s">
        <v>1034</v>
      </c>
      <c r="F9" s="5" t="s">
        <v>1041</v>
      </c>
      <c r="G9" s="5" t="s">
        <v>1042</v>
      </c>
      <c r="H9" s="9"/>
      <c r="I9" s="9" t="s">
        <v>488</v>
      </c>
      <c r="J9" s="9" t="s">
        <v>734</v>
      </c>
      <c r="K9" s="9" t="s">
        <v>65</v>
      </c>
      <c r="L9" s="9" t="s">
        <v>44</v>
      </c>
      <c r="M9" s="9" t="s">
        <v>487</v>
      </c>
      <c r="N9" s="9" t="s">
        <v>93</v>
      </c>
      <c r="O9" s="9"/>
      <c r="P9" s="10" t="s">
        <v>486</v>
      </c>
      <c r="Q9" s="9"/>
      <c r="R9" s="9"/>
      <c r="S9" s="9"/>
      <c r="T9" s="9"/>
      <c r="U9" s="9"/>
      <c r="V9" s="5" t="s">
        <v>1043</v>
      </c>
      <c r="W9" s="9" t="s">
        <v>64</v>
      </c>
      <c r="X9" s="9"/>
      <c r="Y9" s="9" t="n">
        <v>1</v>
      </c>
      <c r="Z9" s="9" t="s">
        <v>489</v>
      </c>
    </row>
    <row r="10" customFormat="false" ht="68.65" hidden="false" customHeight="false" outlineLevel="0" collapsed="false">
      <c r="A10" s="9" t="s">
        <v>502</v>
      </c>
      <c r="B10" s="5" t="s">
        <v>503</v>
      </c>
      <c r="C10" s="9" t="s">
        <v>504</v>
      </c>
      <c r="D10" s="9" t="s">
        <v>92</v>
      </c>
      <c r="E10" s="9" t="s">
        <v>1034</v>
      </c>
      <c r="F10" s="5" t="s">
        <v>1044</v>
      </c>
      <c r="G10" s="5"/>
      <c r="H10" s="9" t="s">
        <v>1045</v>
      </c>
      <c r="I10" s="9" t="s">
        <v>94</v>
      </c>
      <c r="J10" s="9" t="s">
        <v>1046</v>
      </c>
      <c r="K10" s="9" t="s">
        <v>65</v>
      </c>
      <c r="L10" s="9" t="s">
        <v>44</v>
      </c>
      <c r="M10" s="9"/>
      <c r="N10" s="9" t="s">
        <v>93</v>
      </c>
      <c r="O10" s="9"/>
      <c r="P10" s="9"/>
      <c r="Q10" s="9"/>
      <c r="R10" s="9"/>
      <c r="S10" s="9"/>
      <c r="T10" s="9"/>
      <c r="U10" s="9"/>
      <c r="V10" s="5" t="s">
        <v>1047</v>
      </c>
      <c r="W10" s="9" t="s">
        <v>64</v>
      </c>
      <c r="X10" s="9"/>
      <c r="Y10" s="9" t="n">
        <v>4</v>
      </c>
      <c r="Z10" s="5" t="s">
        <v>505</v>
      </c>
    </row>
    <row r="11" customFormat="false" ht="113.4" hidden="false" customHeight="false" outlineLevel="0" collapsed="false">
      <c r="A11" s="9" t="s">
        <v>405</v>
      </c>
      <c r="B11" s="5" t="s">
        <v>406</v>
      </c>
      <c r="C11" s="9" t="s">
        <v>407</v>
      </c>
      <c r="D11" s="9" t="s">
        <v>92</v>
      </c>
      <c r="E11" s="9" t="s">
        <v>1034</v>
      </c>
      <c r="F11" s="5" t="s">
        <v>1048</v>
      </c>
      <c r="G11" s="5" t="s">
        <v>838</v>
      </c>
      <c r="H11" s="9"/>
      <c r="I11" s="9" t="s">
        <v>409</v>
      </c>
      <c r="J11" s="9" t="s">
        <v>1049</v>
      </c>
      <c r="K11" s="9" t="s">
        <v>65</v>
      </c>
      <c r="L11" s="9" t="s">
        <v>46</v>
      </c>
      <c r="M11" s="9"/>
      <c r="N11" s="9" t="s">
        <v>93</v>
      </c>
      <c r="O11" s="9"/>
      <c r="P11" s="10" t="s">
        <v>408</v>
      </c>
      <c r="Q11" s="9"/>
      <c r="R11" s="9"/>
      <c r="S11" s="9"/>
      <c r="T11" s="9"/>
      <c r="U11" s="9"/>
      <c r="V11" s="5" t="s">
        <v>1050</v>
      </c>
      <c r="W11" s="9" t="s">
        <v>64</v>
      </c>
      <c r="X11" s="9"/>
      <c r="Y11" s="9" t="n">
        <v>5</v>
      </c>
      <c r="Z11" s="5" t="s">
        <v>410</v>
      </c>
    </row>
    <row r="12" customFormat="false" ht="46.25" hidden="false" customHeight="false" outlineLevel="0" collapsed="false">
      <c r="A12" s="9" t="s">
        <v>588</v>
      </c>
      <c r="B12" s="5" t="s">
        <v>589</v>
      </c>
      <c r="C12" s="9"/>
      <c r="D12" s="9" t="s">
        <v>92</v>
      </c>
      <c r="E12" s="9" t="s">
        <v>1034</v>
      </c>
      <c r="F12" s="5" t="s">
        <v>1051</v>
      </c>
      <c r="G12" s="5" t="s">
        <v>838</v>
      </c>
      <c r="H12" s="9"/>
      <c r="I12" s="9" t="s">
        <v>231</v>
      </c>
      <c r="J12" s="9" t="s">
        <v>1052</v>
      </c>
      <c r="K12" s="9" t="s">
        <v>65</v>
      </c>
      <c r="L12" s="9" t="s">
        <v>46</v>
      </c>
      <c r="M12" s="9"/>
      <c r="N12" s="9" t="s">
        <v>93</v>
      </c>
      <c r="O12" s="9"/>
      <c r="P12" s="10" t="s">
        <v>590</v>
      </c>
      <c r="Q12" s="9"/>
      <c r="R12" s="9"/>
      <c r="S12" s="9"/>
      <c r="T12" s="9"/>
      <c r="U12" s="9"/>
      <c r="V12" s="5" t="s">
        <v>1053</v>
      </c>
      <c r="W12" s="9" t="s">
        <v>64</v>
      </c>
      <c r="X12" s="9"/>
      <c r="Y12" s="9" t="n">
        <v>1</v>
      </c>
      <c r="Z12" s="9" t="s">
        <v>590</v>
      </c>
    </row>
    <row r="13" customFormat="false" ht="46.25" hidden="false" customHeight="false" outlineLevel="0" collapsed="false">
      <c r="A13" s="9" t="s">
        <v>597</v>
      </c>
      <c r="B13" s="5" t="s">
        <v>598</v>
      </c>
      <c r="C13" s="9"/>
      <c r="D13" s="9" t="s">
        <v>92</v>
      </c>
      <c r="E13" s="9" t="s">
        <v>1034</v>
      </c>
      <c r="F13" s="5" t="s">
        <v>1054</v>
      </c>
      <c r="G13" s="5" t="s">
        <v>838</v>
      </c>
      <c r="H13" s="9"/>
      <c r="I13" s="9" t="s">
        <v>231</v>
      </c>
      <c r="J13" s="9" t="s">
        <v>1055</v>
      </c>
      <c r="K13" s="9" t="s">
        <v>66</v>
      </c>
      <c r="L13" s="9" t="s">
        <v>46</v>
      </c>
      <c r="M13" s="9"/>
      <c r="N13" s="9" t="s">
        <v>93</v>
      </c>
      <c r="O13" s="9"/>
      <c r="P13" s="10" t="s">
        <v>599</v>
      </c>
      <c r="Q13" s="9"/>
      <c r="R13" s="9"/>
      <c r="S13" s="9"/>
      <c r="T13" s="9"/>
      <c r="U13" s="9"/>
      <c r="V13" s="5" t="s">
        <v>1056</v>
      </c>
      <c r="W13" s="9" t="s">
        <v>64</v>
      </c>
      <c r="X13" s="9"/>
      <c r="Y13" s="9" t="n">
        <v>3</v>
      </c>
      <c r="Z13" s="5" t="s">
        <v>600</v>
      </c>
    </row>
    <row r="14" customFormat="false" ht="79.85" hidden="false" customHeight="false" outlineLevel="0" collapsed="false">
      <c r="A14" s="9" t="s">
        <v>330</v>
      </c>
      <c r="B14" s="5" t="s">
        <v>331</v>
      </c>
      <c r="C14" s="9" t="s">
        <v>331</v>
      </c>
      <c r="D14" s="9" t="s">
        <v>92</v>
      </c>
      <c r="E14" s="9" t="s">
        <v>1034</v>
      </c>
      <c r="F14" s="5" t="s">
        <v>1057</v>
      </c>
      <c r="G14" s="5"/>
      <c r="H14" s="9"/>
      <c r="I14" s="9" t="s">
        <v>114</v>
      </c>
      <c r="J14" s="9"/>
      <c r="K14" s="9" t="s">
        <v>67</v>
      </c>
      <c r="L14" s="9" t="s">
        <v>44</v>
      </c>
      <c r="M14" s="9"/>
      <c r="N14" s="9" t="s">
        <v>93</v>
      </c>
      <c r="O14" s="9"/>
      <c r="P14" s="9"/>
      <c r="Q14" s="9"/>
      <c r="R14" s="9"/>
      <c r="S14" s="9"/>
      <c r="T14" s="9" t="s">
        <v>1058</v>
      </c>
      <c r="U14" s="9"/>
      <c r="V14" s="5" t="s">
        <v>1059</v>
      </c>
      <c r="W14" s="9" t="s">
        <v>64</v>
      </c>
      <c r="X14" s="9" t="s">
        <v>57</v>
      </c>
      <c r="Y14" s="9" t="n">
        <v>4</v>
      </c>
      <c r="Z14" s="5" t="s">
        <v>1060</v>
      </c>
    </row>
    <row r="15" customFormat="false" ht="57.45" hidden="false" customHeight="false" outlineLevel="0" collapsed="false">
      <c r="A15" s="9" t="s">
        <v>358</v>
      </c>
      <c r="B15" s="5" t="s">
        <v>359</v>
      </c>
      <c r="C15" s="9" t="s">
        <v>360</v>
      </c>
      <c r="D15" s="9" t="s">
        <v>92</v>
      </c>
      <c r="E15" s="9" t="s">
        <v>1034</v>
      </c>
      <c r="F15" s="5" t="s">
        <v>1061</v>
      </c>
      <c r="G15" s="5"/>
      <c r="H15" s="9"/>
      <c r="I15" s="9" t="s">
        <v>114</v>
      </c>
      <c r="J15" s="9"/>
      <c r="K15" s="9" t="s">
        <v>67</v>
      </c>
      <c r="L15" s="9" t="s">
        <v>44</v>
      </c>
      <c r="M15" s="9"/>
      <c r="N15" s="9" t="s">
        <v>93</v>
      </c>
      <c r="O15" s="9" t="s">
        <v>1062</v>
      </c>
      <c r="P15" s="9"/>
      <c r="Q15" s="9"/>
      <c r="R15" s="9"/>
      <c r="S15" s="9"/>
      <c r="T15" s="9"/>
      <c r="U15" s="9"/>
      <c r="V15" s="5" t="s">
        <v>1063</v>
      </c>
      <c r="W15" s="9" t="s">
        <v>64</v>
      </c>
      <c r="X15" s="9"/>
      <c r="Y15" s="9" t="n">
        <v>1</v>
      </c>
      <c r="Z15" s="9" t="s">
        <v>361</v>
      </c>
    </row>
    <row r="16" customFormat="false" ht="68.65" hidden="false" customHeight="false" outlineLevel="0" collapsed="false">
      <c r="A16" s="9" t="s">
        <v>89</v>
      </c>
      <c r="B16" s="5" t="s">
        <v>90</v>
      </c>
      <c r="C16" s="9" t="s">
        <v>91</v>
      </c>
      <c r="D16" s="9" t="s">
        <v>92</v>
      </c>
      <c r="E16" s="9" t="s">
        <v>1064</v>
      </c>
      <c r="F16" s="5" t="s">
        <v>1065</v>
      </c>
      <c r="G16" s="5"/>
      <c r="H16" s="9"/>
      <c r="I16" s="9" t="s">
        <v>94</v>
      </c>
      <c r="J16" s="9"/>
      <c r="K16" s="9" t="s">
        <v>65</v>
      </c>
      <c r="L16" s="9" t="s">
        <v>44</v>
      </c>
      <c r="M16" s="9"/>
      <c r="N16" s="9" t="s">
        <v>93</v>
      </c>
      <c r="O16" s="9"/>
      <c r="P16" s="9"/>
      <c r="Q16" s="9"/>
      <c r="R16" s="9"/>
      <c r="S16" s="9"/>
      <c r="T16" s="9"/>
      <c r="U16" s="9"/>
      <c r="V16" s="5" t="s">
        <v>1066</v>
      </c>
      <c r="W16" s="9" t="s">
        <v>64</v>
      </c>
      <c r="X16" s="9"/>
      <c r="Y16" s="9" t="n">
        <v>2</v>
      </c>
      <c r="Z16" s="5" t="s">
        <v>95</v>
      </c>
    </row>
    <row r="17" customFormat="false" ht="35.05" hidden="false" customHeight="false" outlineLevel="0" collapsed="false">
      <c r="A17" s="9" t="s">
        <v>318</v>
      </c>
      <c r="B17" s="5" t="s">
        <v>319</v>
      </c>
      <c r="C17" s="9"/>
      <c r="D17" s="9" t="s">
        <v>92</v>
      </c>
      <c r="E17" s="9" t="s">
        <v>1064</v>
      </c>
      <c r="F17" s="5" t="s">
        <v>1067</v>
      </c>
      <c r="G17" s="5"/>
      <c r="H17" s="9"/>
      <c r="I17" s="9" t="s">
        <v>321</v>
      </c>
      <c r="J17" s="9"/>
      <c r="K17" s="9" t="s">
        <v>65</v>
      </c>
      <c r="L17" s="9" t="s">
        <v>48</v>
      </c>
      <c r="M17" s="9" t="s">
        <v>320</v>
      </c>
      <c r="N17" s="9" t="s">
        <v>93</v>
      </c>
      <c r="O17" s="9"/>
      <c r="P17" s="9"/>
      <c r="Q17" s="9"/>
      <c r="R17" s="9"/>
      <c r="S17" s="9"/>
      <c r="T17" s="9"/>
      <c r="U17" s="9"/>
      <c r="V17" s="5" t="s">
        <v>1068</v>
      </c>
      <c r="W17" s="9" t="s">
        <v>64</v>
      </c>
      <c r="X17" s="9"/>
      <c r="Y17" s="9" t="n">
        <v>3</v>
      </c>
      <c r="Z17" s="5" t="s">
        <v>322</v>
      </c>
    </row>
    <row r="18" customFormat="false" ht="57.45" hidden="false" customHeight="false" outlineLevel="0" collapsed="false">
      <c r="A18" s="9" t="s">
        <v>452</v>
      </c>
      <c r="B18" s="5" t="s">
        <v>453</v>
      </c>
      <c r="C18" s="9" t="s">
        <v>453</v>
      </c>
      <c r="D18" s="9" t="s">
        <v>92</v>
      </c>
      <c r="E18" s="9" t="s">
        <v>1064</v>
      </c>
      <c r="F18" s="5" t="s">
        <v>1069</v>
      </c>
      <c r="G18" s="5"/>
      <c r="H18" s="9" t="s">
        <v>1070</v>
      </c>
      <c r="I18" s="9" t="s">
        <v>455</v>
      </c>
      <c r="J18" s="9" t="s">
        <v>1071</v>
      </c>
      <c r="K18" s="9" t="s">
        <v>66</v>
      </c>
      <c r="L18" s="9" t="s">
        <v>50</v>
      </c>
      <c r="M18" s="9" t="s">
        <v>113</v>
      </c>
      <c r="N18" s="9" t="s">
        <v>93</v>
      </c>
      <c r="O18" s="9"/>
      <c r="P18" s="10" t="s">
        <v>454</v>
      </c>
      <c r="Q18" s="9"/>
      <c r="R18" s="9"/>
      <c r="S18" s="9"/>
      <c r="T18" s="9" t="s">
        <v>151</v>
      </c>
      <c r="U18" s="9"/>
      <c r="V18" s="5" t="s">
        <v>1072</v>
      </c>
      <c r="W18" s="9" t="s">
        <v>64</v>
      </c>
      <c r="X18" s="9"/>
      <c r="Y18" s="9" t="n">
        <v>1</v>
      </c>
      <c r="Z18" s="9" t="s">
        <v>456</v>
      </c>
    </row>
    <row r="19" customFormat="false" ht="46.25" hidden="false" customHeight="false" outlineLevel="0" collapsed="false">
      <c r="A19" s="9" t="s">
        <v>228</v>
      </c>
      <c r="B19" s="5" t="s">
        <v>229</v>
      </c>
      <c r="C19" s="9"/>
      <c r="D19" s="9" t="s">
        <v>92</v>
      </c>
      <c r="E19" s="9" t="s">
        <v>1064</v>
      </c>
      <c r="F19" s="5" t="s">
        <v>1073</v>
      </c>
      <c r="G19" s="5" t="s">
        <v>838</v>
      </c>
      <c r="H19" s="9"/>
      <c r="I19" s="9" t="s">
        <v>231</v>
      </c>
      <c r="J19" s="9"/>
      <c r="K19" s="9" t="s">
        <v>67</v>
      </c>
      <c r="L19" s="9" t="s">
        <v>46</v>
      </c>
      <c r="M19" s="9"/>
      <c r="N19" s="9" t="s">
        <v>93</v>
      </c>
      <c r="O19" s="9"/>
      <c r="P19" s="10" t="s">
        <v>230</v>
      </c>
      <c r="Q19" s="9"/>
      <c r="R19" s="9"/>
      <c r="S19" s="9"/>
      <c r="T19" s="9"/>
      <c r="U19" s="9"/>
      <c r="V19" s="5" t="s">
        <v>1074</v>
      </c>
      <c r="W19" s="9" t="s">
        <v>64</v>
      </c>
      <c r="X19" s="9"/>
      <c r="Y19" s="9" t="n">
        <v>1</v>
      </c>
      <c r="Z19" s="9" t="s">
        <v>232</v>
      </c>
    </row>
    <row r="20" customFormat="false" ht="68.65" hidden="false" customHeight="false" outlineLevel="0" collapsed="false">
      <c r="A20" s="9" t="s">
        <v>437</v>
      </c>
      <c r="B20" s="5" t="s">
        <v>438</v>
      </c>
      <c r="C20" s="9"/>
      <c r="D20" s="9" t="s">
        <v>156</v>
      </c>
      <c r="E20" s="9" t="s">
        <v>1064</v>
      </c>
      <c r="F20" s="5" t="s">
        <v>1075</v>
      </c>
      <c r="G20" s="5" t="s">
        <v>838</v>
      </c>
      <c r="H20" s="9"/>
      <c r="I20" s="9" t="s">
        <v>440</v>
      </c>
      <c r="J20" s="9"/>
      <c r="K20" s="9" t="s">
        <v>67</v>
      </c>
      <c r="L20" s="9" t="s">
        <v>46</v>
      </c>
      <c r="M20" s="9"/>
      <c r="N20" s="9" t="s">
        <v>93</v>
      </c>
      <c r="O20" s="9"/>
      <c r="P20" s="10" t="s">
        <v>439</v>
      </c>
      <c r="Q20" s="9"/>
      <c r="R20" s="9"/>
      <c r="S20" s="9"/>
      <c r="T20" s="9"/>
      <c r="U20" s="9"/>
      <c r="V20" s="5" t="s">
        <v>1076</v>
      </c>
      <c r="W20" s="9" t="s">
        <v>64</v>
      </c>
      <c r="X20" s="9"/>
      <c r="Y20" s="9" t="n">
        <v>3</v>
      </c>
      <c r="Z20" s="5" t="s">
        <v>441</v>
      </c>
    </row>
    <row r="21" customFormat="false" ht="46.25" hidden="false" customHeight="false" outlineLevel="0" collapsed="false">
      <c r="A21" s="9" t="s">
        <v>480</v>
      </c>
      <c r="B21" s="5" t="s">
        <v>481</v>
      </c>
      <c r="C21" s="9"/>
      <c r="D21" s="9" t="s">
        <v>92</v>
      </c>
      <c r="E21" s="9" t="s">
        <v>1064</v>
      </c>
      <c r="F21" s="5" t="s">
        <v>1077</v>
      </c>
      <c r="G21" s="5" t="s">
        <v>838</v>
      </c>
      <c r="H21" s="9"/>
      <c r="I21" s="9" t="s">
        <v>231</v>
      </c>
      <c r="J21" s="9"/>
      <c r="K21" s="9" t="s">
        <v>67</v>
      </c>
      <c r="L21" s="9" t="s">
        <v>46</v>
      </c>
      <c r="M21" s="9" t="s">
        <v>482</v>
      </c>
      <c r="N21" s="9" t="s">
        <v>93</v>
      </c>
      <c r="O21" s="9"/>
      <c r="P21" s="9"/>
      <c r="Q21" s="9"/>
      <c r="R21" s="9"/>
      <c r="S21" s="9"/>
      <c r="T21" s="9"/>
      <c r="U21" s="9"/>
      <c r="V21" s="5" t="s">
        <v>1078</v>
      </c>
      <c r="W21" s="9" t="s">
        <v>64</v>
      </c>
      <c r="X21" s="9"/>
      <c r="Y21" s="9" t="n">
        <v>1</v>
      </c>
      <c r="Z21" s="9" t="s">
        <v>483</v>
      </c>
    </row>
  </sheetData>
  <hyperlinks>
    <hyperlink ref="P5" r:id="rId1" display="https://www.manjushreeindia.com/"/>
    <hyperlink ref="P6" r:id="rId2" display="https://www.petainer.com"/>
    <hyperlink ref="P7" r:id="rId3" display="https://www.shethpet.in"/>
    <hyperlink ref="P9" r:id="rId4" display="https://www.pranavplasticsindia.com"/>
    <hyperlink ref="P11" r:id="rId5" display="https://m.indiamart.com/markpack"/>
    <hyperlink ref="P12" r:id="rId6" display="https://m.indiamart.com/sibi-polymers/"/>
    <hyperlink ref="P13" r:id="rId7" display="https://m.indiamart.com/sonapetindustries"/>
    <hyperlink ref="P18" r:id="rId8" display="https://parleagro.com/"/>
    <hyperlink ref="P19" r:id="rId9" display="https://m.indiamart.com/crystal-poly/"/>
    <hyperlink ref="P20" r:id="rId10" display="https://m.indiamart.com/nishantmoulding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7" min="6" style="0" width="5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26"/>
    <col collapsed="false" customWidth="true" hidden="false" outlineLevel="0" max="14" min="14" style="0" width="12"/>
    <col collapsed="false" customWidth="true" hidden="false" outlineLevel="0" max="16" min="15" style="0" width="30"/>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1" min="20" style="0" width="28"/>
    <col collapsed="false" customWidth="true" hidden="false" outlineLevel="0" max="22" min="22" style="0" width="55"/>
    <col collapsed="false" customWidth="true" hidden="false" outlineLevel="0" max="23" min="23" style="0" width="11"/>
    <col collapsed="false" customWidth="true" hidden="false" outlineLevel="0" max="24" min="24" style="0" width="26"/>
    <col collapsed="false" customWidth="true" hidden="false" outlineLevel="0" max="25" min="25" style="0" width="9"/>
    <col collapsed="false" customWidth="true" hidden="false" outlineLevel="0" max="26" min="26" style="0" width="60"/>
  </cols>
  <sheetData>
    <row r="1" customFormat="false" ht="15" hidden="false" customHeight="false" outlineLevel="0" collapsed="false">
      <c r="A1" s="7" t="s">
        <v>1079</v>
      </c>
    </row>
    <row r="2" customFormat="false" ht="31.5" hidden="false" customHeight="true" outlineLevel="0" collapsed="false">
      <c r="A2" s="6" t="s">
        <v>72</v>
      </c>
      <c r="B2" s="6" t="s">
        <v>73</v>
      </c>
      <c r="C2" s="6" t="s">
        <v>74</v>
      </c>
      <c r="D2" s="6" t="s">
        <v>30</v>
      </c>
      <c r="E2" s="6" t="s">
        <v>703</v>
      </c>
      <c r="F2" s="6" t="s">
        <v>704</v>
      </c>
      <c r="G2" s="6" t="s">
        <v>705</v>
      </c>
      <c r="H2" s="6" t="s">
        <v>706</v>
      </c>
      <c r="I2" s="6" t="s">
        <v>707</v>
      </c>
      <c r="J2" s="6" t="s">
        <v>708</v>
      </c>
      <c r="K2" s="6" t="s">
        <v>34</v>
      </c>
      <c r="L2" s="6" t="s">
        <v>78</v>
      </c>
      <c r="M2" s="6" t="s">
        <v>76</v>
      </c>
      <c r="N2" s="6" t="s">
        <v>77</v>
      </c>
      <c r="O2" s="6" t="s">
        <v>709</v>
      </c>
      <c r="P2" s="6" t="s">
        <v>75</v>
      </c>
      <c r="Q2" s="6" t="s">
        <v>86</v>
      </c>
      <c r="R2" s="6" t="s">
        <v>83</v>
      </c>
      <c r="S2" s="6" t="s">
        <v>84</v>
      </c>
      <c r="T2" s="6" t="s">
        <v>82</v>
      </c>
      <c r="U2" s="6" t="s">
        <v>85</v>
      </c>
      <c r="V2" s="6" t="s">
        <v>710</v>
      </c>
      <c r="W2" s="6" t="s">
        <v>32</v>
      </c>
      <c r="X2" s="6" t="s">
        <v>711</v>
      </c>
      <c r="Y2" s="6" t="s">
        <v>88</v>
      </c>
      <c r="Z2" s="6" t="s">
        <v>14</v>
      </c>
    </row>
    <row r="3" customFormat="false" ht="35.05" hidden="false" customHeight="false" outlineLevel="0" collapsed="false">
      <c r="A3" s="9" t="s">
        <v>283</v>
      </c>
      <c r="B3" s="5" t="s">
        <v>284</v>
      </c>
      <c r="C3" s="9" t="s">
        <v>285</v>
      </c>
      <c r="D3" s="9" t="s">
        <v>92</v>
      </c>
      <c r="E3" s="9" t="s">
        <v>1080</v>
      </c>
      <c r="F3" s="5" t="s">
        <v>1081</v>
      </c>
      <c r="G3" s="5"/>
      <c r="H3" s="9" t="s">
        <v>1082</v>
      </c>
      <c r="I3" s="9" t="s">
        <v>114</v>
      </c>
      <c r="J3" s="9" t="s">
        <v>734</v>
      </c>
      <c r="K3" s="9" t="s">
        <v>65</v>
      </c>
      <c r="L3" s="9" t="s">
        <v>50</v>
      </c>
      <c r="M3" s="9" t="s">
        <v>287</v>
      </c>
      <c r="N3" s="9" t="s">
        <v>150</v>
      </c>
      <c r="O3" s="9"/>
      <c r="P3" s="10" t="s">
        <v>286</v>
      </c>
      <c r="Q3" s="9"/>
      <c r="R3" s="9"/>
      <c r="S3" s="9"/>
      <c r="T3" s="9" t="s">
        <v>288</v>
      </c>
      <c r="U3" s="9"/>
      <c r="V3" s="5" t="s">
        <v>1083</v>
      </c>
      <c r="W3" s="9" t="s">
        <v>63</v>
      </c>
      <c r="X3" s="9"/>
      <c r="Y3" s="9" t="n">
        <v>1</v>
      </c>
      <c r="Z3" s="9" t="s">
        <v>289</v>
      </c>
    </row>
    <row r="4" customFormat="false" ht="46.25" hidden="false" customHeight="false" outlineLevel="0" collapsed="false">
      <c r="A4" s="9" t="s">
        <v>145</v>
      </c>
      <c r="B4" s="5" t="s">
        <v>146</v>
      </c>
      <c r="C4" s="9" t="s">
        <v>147</v>
      </c>
      <c r="D4" s="9" t="s">
        <v>92</v>
      </c>
      <c r="E4" s="9" t="s">
        <v>1080</v>
      </c>
      <c r="F4" s="5" t="s">
        <v>1084</v>
      </c>
      <c r="G4" s="5" t="s">
        <v>1085</v>
      </c>
      <c r="H4" s="9"/>
      <c r="I4" s="9" t="s">
        <v>114</v>
      </c>
      <c r="J4" s="9" t="s">
        <v>1086</v>
      </c>
      <c r="K4" s="9" t="s">
        <v>65</v>
      </c>
      <c r="L4" s="9" t="s">
        <v>51</v>
      </c>
      <c r="M4" s="9" t="s">
        <v>149</v>
      </c>
      <c r="N4" s="9" t="s">
        <v>150</v>
      </c>
      <c r="O4" s="9"/>
      <c r="P4" s="10" t="s">
        <v>148</v>
      </c>
      <c r="Q4" s="9"/>
      <c r="R4" s="9"/>
      <c r="S4" s="9"/>
      <c r="T4" s="9" t="s">
        <v>151</v>
      </c>
      <c r="U4" s="9"/>
      <c r="V4" s="5" t="s">
        <v>1087</v>
      </c>
      <c r="W4" s="9" t="s">
        <v>63</v>
      </c>
      <c r="X4" s="9"/>
      <c r="Y4" s="9" t="n">
        <v>3</v>
      </c>
      <c r="Z4" s="5" t="s">
        <v>152</v>
      </c>
    </row>
    <row r="5" customFormat="false" ht="57.45" hidden="false" customHeight="false" outlineLevel="0" collapsed="false">
      <c r="A5" s="9" t="s">
        <v>166</v>
      </c>
      <c r="B5" s="5" t="s">
        <v>167</v>
      </c>
      <c r="C5" s="9" t="s">
        <v>168</v>
      </c>
      <c r="D5" s="9" t="s">
        <v>92</v>
      </c>
      <c r="E5" s="9" t="s">
        <v>1080</v>
      </c>
      <c r="F5" s="5" t="s">
        <v>1088</v>
      </c>
      <c r="G5" s="5" t="s">
        <v>1089</v>
      </c>
      <c r="H5" s="9" t="s">
        <v>1090</v>
      </c>
      <c r="I5" s="9" t="s">
        <v>114</v>
      </c>
      <c r="J5" s="9" t="s">
        <v>1091</v>
      </c>
      <c r="K5" s="9" t="s">
        <v>65</v>
      </c>
      <c r="L5" s="9" t="s">
        <v>51</v>
      </c>
      <c r="M5" s="9" t="s">
        <v>170</v>
      </c>
      <c r="N5" s="9" t="s">
        <v>121</v>
      </c>
      <c r="O5" s="9"/>
      <c r="P5" s="10" t="s">
        <v>169</v>
      </c>
      <c r="Q5" s="9"/>
      <c r="R5" s="9"/>
      <c r="S5" s="9"/>
      <c r="T5" s="9" t="s">
        <v>171</v>
      </c>
      <c r="U5" s="9"/>
      <c r="V5" s="5" t="s">
        <v>1092</v>
      </c>
      <c r="W5" s="9" t="s">
        <v>63</v>
      </c>
      <c r="X5" s="9"/>
      <c r="Y5" s="9" t="n">
        <v>5</v>
      </c>
      <c r="Z5" s="5" t="s">
        <v>172</v>
      </c>
    </row>
    <row r="6" customFormat="false" ht="46.25" hidden="false" customHeight="false" outlineLevel="0" collapsed="false">
      <c r="A6" s="9" t="s">
        <v>208</v>
      </c>
      <c r="B6" s="5" t="s">
        <v>209</v>
      </c>
      <c r="C6" s="9" t="s">
        <v>210</v>
      </c>
      <c r="D6" s="9" t="s">
        <v>92</v>
      </c>
      <c r="E6" s="9" t="s">
        <v>1080</v>
      </c>
      <c r="F6" s="5" t="s">
        <v>1093</v>
      </c>
      <c r="G6" s="5" t="s">
        <v>1094</v>
      </c>
      <c r="H6" s="9" t="s">
        <v>1095</v>
      </c>
      <c r="I6" s="9" t="s">
        <v>114</v>
      </c>
      <c r="J6" s="9" t="s">
        <v>1096</v>
      </c>
      <c r="K6" s="9" t="s">
        <v>65</v>
      </c>
      <c r="L6" s="9" t="s">
        <v>51</v>
      </c>
      <c r="M6" s="9"/>
      <c r="N6" s="9"/>
      <c r="O6" s="9"/>
      <c r="P6" s="9"/>
      <c r="Q6" s="9"/>
      <c r="R6" s="9"/>
      <c r="S6" s="9"/>
      <c r="T6" s="9"/>
      <c r="U6" s="9"/>
      <c r="V6" s="5" t="s">
        <v>1097</v>
      </c>
      <c r="W6" s="9" t="s">
        <v>63</v>
      </c>
      <c r="X6" s="9"/>
      <c r="Y6" s="9" t="n">
        <v>3</v>
      </c>
      <c r="Z6" s="5" t="s">
        <v>211</v>
      </c>
    </row>
    <row r="7" customFormat="false" ht="57.45" hidden="false" customHeight="false" outlineLevel="0" collapsed="false">
      <c r="A7" s="9" t="s">
        <v>212</v>
      </c>
      <c r="B7" s="5" t="s">
        <v>213</v>
      </c>
      <c r="C7" s="9" t="s">
        <v>213</v>
      </c>
      <c r="D7" s="9" t="s">
        <v>92</v>
      </c>
      <c r="E7" s="9" t="s">
        <v>1080</v>
      </c>
      <c r="F7" s="5" t="s">
        <v>1098</v>
      </c>
      <c r="G7" s="5" t="s">
        <v>1094</v>
      </c>
      <c r="H7" s="9"/>
      <c r="I7" s="9" t="s">
        <v>114</v>
      </c>
      <c r="J7" s="9" t="s">
        <v>1099</v>
      </c>
      <c r="K7" s="9" t="s">
        <v>65</v>
      </c>
      <c r="L7" s="9" t="s">
        <v>51</v>
      </c>
      <c r="M7" s="9"/>
      <c r="N7" s="9" t="s">
        <v>121</v>
      </c>
      <c r="O7" s="9"/>
      <c r="P7" s="9"/>
      <c r="Q7" s="9"/>
      <c r="R7" s="9"/>
      <c r="S7" s="9"/>
      <c r="T7" s="9"/>
      <c r="U7" s="9"/>
      <c r="V7" s="5" t="s">
        <v>1100</v>
      </c>
      <c r="W7" s="9" t="s">
        <v>63</v>
      </c>
      <c r="X7" s="9"/>
      <c r="Y7" s="9" t="n">
        <v>3</v>
      </c>
      <c r="Z7" s="5" t="s">
        <v>214</v>
      </c>
    </row>
    <row r="8" customFormat="false" ht="57.45" hidden="false" customHeight="false" outlineLevel="0" collapsed="false">
      <c r="A8" s="9" t="s">
        <v>290</v>
      </c>
      <c r="B8" s="5" t="s">
        <v>291</v>
      </c>
      <c r="C8" s="9" t="s">
        <v>292</v>
      </c>
      <c r="D8" s="9" t="s">
        <v>92</v>
      </c>
      <c r="E8" s="9" t="s">
        <v>1080</v>
      </c>
      <c r="F8" s="5" t="s">
        <v>1101</v>
      </c>
      <c r="G8" s="5" t="s">
        <v>1094</v>
      </c>
      <c r="H8" s="9"/>
      <c r="I8" s="9" t="s">
        <v>114</v>
      </c>
      <c r="J8" s="9" t="s">
        <v>734</v>
      </c>
      <c r="K8" s="9" t="s">
        <v>65</v>
      </c>
      <c r="L8" s="9" t="s">
        <v>51</v>
      </c>
      <c r="M8" s="9"/>
      <c r="N8" s="9"/>
      <c r="O8" s="9"/>
      <c r="P8" s="9"/>
      <c r="Q8" s="9"/>
      <c r="R8" s="9"/>
      <c r="S8" s="9"/>
      <c r="T8" s="9"/>
      <c r="U8" s="9"/>
      <c r="V8" s="5" t="s">
        <v>1102</v>
      </c>
      <c r="W8" s="9" t="s">
        <v>63</v>
      </c>
      <c r="X8" s="9"/>
      <c r="Y8" s="9" t="n">
        <v>4</v>
      </c>
      <c r="Z8" s="5" t="s">
        <v>293</v>
      </c>
    </row>
    <row r="9" customFormat="false" ht="57.45" hidden="false" customHeight="false" outlineLevel="0" collapsed="false">
      <c r="A9" s="9" t="s">
        <v>117</v>
      </c>
      <c r="B9" s="5" t="s">
        <v>118</v>
      </c>
      <c r="C9" s="9" t="s">
        <v>111</v>
      </c>
      <c r="D9" s="9" t="s">
        <v>92</v>
      </c>
      <c r="E9" s="9" t="s">
        <v>1080</v>
      </c>
      <c r="F9" s="5" t="s">
        <v>1103</v>
      </c>
      <c r="G9" s="5" t="s">
        <v>1104</v>
      </c>
      <c r="H9" s="9"/>
      <c r="I9" s="9" t="s">
        <v>114</v>
      </c>
      <c r="J9" s="9" t="s">
        <v>734</v>
      </c>
      <c r="K9" s="9" t="s">
        <v>65</v>
      </c>
      <c r="L9" s="9" t="s">
        <v>51</v>
      </c>
      <c r="M9" s="9" t="s">
        <v>120</v>
      </c>
      <c r="N9" s="9" t="s">
        <v>121</v>
      </c>
      <c r="O9" s="9"/>
      <c r="P9" s="10" t="s">
        <v>119</v>
      </c>
      <c r="Q9" s="9"/>
      <c r="R9" s="9"/>
      <c r="S9" s="9"/>
      <c r="T9" s="9" t="s">
        <v>122</v>
      </c>
      <c r="U9" s="9"/>
      <c r="V9" s="5" t="s">
        <v>1105</v>
      </c>
      <c r="W9" s="9" t="s">
        <v>64</v>
      </c>
      <c r="X9" s="9"/>
      <c r="Y9" s="9" t="n">
        <v>1</v>
      </c>
      <c r="Z9" s="9" t="s">
        <v>123</v>
      </c>
    </row>
    <row r="10" customFormat="false" ht="46.25" hidden="false" customHeight="false" outlineLevel="0" collapsed="false">
      <c r="A10" s="9" t="s">
        <v>161</v>
      </c>
      <c r="B10" s="5" t="s">
        <v>162</v>
      </c>
      <c r="C10" s="9" t="s">
        <v>163</v>
      </c>
      <c r="D10" s="9" t="s">
        <v>92</v>
      </c>
      <c r="E10" s="9" t="s">
        <v>1080</v>
      </c>
      <c r="F10" s="5" t="s">
        <v>1106</v>
      </c>
      <c r="G10" s="5" t="s">
        <v>1094</v>
      </c>
      <c r="H10" s="9"/>
      <c r="I10" s="9" t="s">
        <v>106</v>
      </c>
      <c r="J10" s="9" t="s">
        <v>1107</v>
      </c>
      <c r="K10" s="9" t="s">
        <v>65</v>
      </c>
      <c r="L10" s="9" t="s">
        <v>51</v>
      </c>
      <c r="M10" s="9" t="s">
        <v>128</v>
      </c>
      <c r="N10" s="9" t="s">
        <v>121</v>
      </c>
      <c r="O10" s="9"/>
      <c r="P10" s="10" t="s">
        <v>164</v>
      </c>
      <c r="Q10" s="9"/>
      <c r="R10" s="9"/>
      <c r="S10" s="9"/>
      <c r="T10" s="9"/>
      <c r="U10" s="9"/>
      <c r="V10" s="5" t="s">
        <v>1108</v>
      </c>
      <c r="W10" s="9" t="s">
        <v>64</v>
      </c>
      <c r="X10" s="9"/>
      <c r="Y10" s="9" t="n">
        <v>1</v>
      </c>
      <c r="Z10" s="9" t="s">
        <v>165</v>
      </c>
    </row>
    <row r="11" customFormat="false" ht="46.25" hidden="false" customHeight="false" outlineLevel="0" collapsed="false">
      <c r="A11" s="9" t="s">
        <v>246</v>
      </c>
      <c r="B11" s="5" t="s">
        <v>247</v>
      </c>
      <c r="C11" s="9" t="s">
        <v>248</v>
      </c>
      <c r="D11" s="9" t="s">
        <v>156</v>
      </c>
      <c r="E11" s="9" t="s">
        <v>1080</v>
      </c>
      <c r="F11" s="5" t="s">
        <v>1109</v>
      </c>
      <c r="G11" s="5" t="s">
        <v>1094</v>
      </c>
      <c r="H11" s="9" t="s">
        <v>1110</v>
      </c>
      <c r="I11" s="9" t="s">
        <v>114</v>
      </c>
      <c r="J11" s="9" t="s">
        <v>1111</v>
      </c>
      <c r="K11" s="9" t="s">
        <v>65</v>
      </c>
      <c r="L11" s="9" t="s">
        <v>51</v>
      </c>
      <c r="M11" s="9"/>
      <c r="N11" s="9" t="s">
        <v>121</v>
      </c>
      <c r="O11" s="9"/>
      <c r="P11" s="9"/>
      <c r="Q11" s="9"/>
      <c r="R11" s="9"/>
      <c r="S11" s="9"/>
      <c r="T11" s="9"/>
      <c r="U11" s="9"/>
      <c r="V11" s="5" t="s">
        <v>1112</v>
      </c>
      <c r="W11" s="9" t="s">
        <v>64</v>
      </c>
      <c r="X11" s="9"/>
      <c r="Y11" s="9" t="n">
        <v>3</v>
      </c>
      <c r="Z11" s="5" t="s">
        <v>249</v>
      </c>
    </row>
    <row r="12" customFormat="false" ht="57.45" hidden="false" customHeight="false" outlineLevel="0" collapsed="false">
      <c r="A12" s="9" t="s">
        <v>447</v>
      </c>
      <c r="B12" s="5" t="s">
        <v>448</v>
      </c>
      <c r="C12" s="9" t="s">
        <v>449</v>
      </c>
      <c r="D12" s="9" t="s">
        <v>92</v>
      </c>
      <c r="E12" s="9" t="s">
        <v>1080</v>
      </c>
      <c r="F12" s="5" t="s">
        <v>1113</v>
      </c>
      <c r="G12" s="5" t="s">
        <v>1094</v>
      </c>
      <c r="H12" s="9"/>
      <c r="I12" s="9" t="s">
        <v>450</v>
      </c>
      <c r="J12" s="9" t="s">
        <v>734</v>
      </c>
      <c r="K12" s="9" t="s">
        <v>65</v>
      </c>
      <c r="L12" s="9" t="s">
        <v>51</v>
      </c>
      <c r="M12" s="9"/>
      <c r="N12" s="9"/>
      <c r="O12" s="9"/>
      <c r="P12" s="9"/>
      <c r="Q12" s="9"/>
      <c r="R12" s="9"/>
      <c r="S12" s="9"/>
      <c r="T12" s="9"/>
      <c r="U12" s="9"/>
      <c r="V12" s="5" t="s">
        <v>1114</v>
      </c>
      <c r="W12" s="9" t="s">
        <v>64</v>
      </c>
      <c r="X12" s="9"/>
      <c r="Y12" s="9" t="n">
        <v>3</v>
      </c>
      <c r="Z12" s="5" t="s">
        <v>451</v>
      </c>
    </row>
    <row r="13" customFormat="false" ht="35.05" hidden="false" customHeight="false" outlineLevel="0" collapsed="false">
      <c r="A13" s="9" t="s">
        <v>109</v>
      </c>
      <c r="B13" s="5" t="s">
        <v>110</v>
      </c>
      <c r="C13" s="9" t="s">
        <v>111</v>
      </c>
      <c r="D13" s="9" t="s">
        <v>92</v>
      </c>
      <c r="E13" s="9" t="s">
        <v>1115</v>
      </c>
      <c r="F13" s="5" t="s">
        <v>1116</v>
      </c>
      <c r="G13" s="5" t="s">
        <v>1117</v>
      </c>
      <c r="H13" s="9" t="s">
        <v>1118</v>
      </c>
      <c r="I13" s="9" t="s">
        <v>114</v>
      </c>
      <c r="J13" s="9" t="s">
        <v>734</v>
      </c>
      <c r="K13" s="9" t="s">
        <v>65</v>
      </c>
      <c r="L13" s="9" t="s">
        <v>44</v>
      </c>
      <c r="M13" s="9" t="s">
        <v>113</v>
      </c>
      <c r="N13" s="9" t="s">
        <v>93</v>
      </c>
      <c r="O13" s="9" t="s">
        <v>1119</v>
      </c>
      <c r="P13" s="10" t="s">
        <v>112</v>
      </c>
      <c r="Q13" s="9"/>
      <c r="R13" s="9"/>
      <c r="S13" s="9"/>
      <c r="T13" s="9" t="s">
        <v>115</v>
      </c>
      <c r="U13" s="9"/>
      <c r="V13" s="5" t="s">
        <v>1120</v>
      </c>
      <c r="W13" s="9" t="s">
        <v>63</v>
      </c>
      <c r="X13" s="9"/>
      <c r="Y13" s="9" t="n">
        <v>3</v>
      </c>
      <c r="Z13" s="5" t="s">
        <v>116</v>
      </c>
    </row>
    <row r="14" customFormat="false" ht="46.25" hidden="false" customHeight="false" outlineLevel="0" collapsed="false">
      <c r="A14" s="9" t="s">
        <v>591</v>
      </c>
      <c r="B14" s="5" t="s">
        <v>592</v>
      </c>
      <c r="C14" s="9" t="s">
        <v>593</v>
      </c>
      <c r="D14" s="9" t="s">
        <v>92</v>
      </c>
      <c r="E14" s="9" t="s">
        <v>1115</v>
      </c>
      <c r="F14" s="5" t="s">
        <v>1121</v>
      </c>
      <c r="G14" s="5" t="s">
        <v>1122</v>
      </c>
      <c r="H14" s="9"/>
      <c r="I14" s="9" t="s">
        <v>114</v>
      </c>
      <c r="J14" s="9" t="s">
        <v>1123</v>
      </c>
      <c r="K14" s="9" t="s">
        <v>65</v>
      </c>
      <c r="L14" s="9" t="s">
        <v>51</v>
      </c>
      <c r="M14" s="9"/>
      <c r="N14" s="9" t="s">
        <v>121</v>
      </c>
      <c r="O14" s="9"/>
      <c r="P14" s="10" t="s">
        <v>594</v>
      </c>
      <c r="Q14" s="9"/>
      <c r="R14" s="9"/>
      <c r="S14" s="9"/>
      <c r="T14" s="9" t="s">
        <v>595</v>
      </c>
      <c r="U14" s="9"/>
      <c r="V14" s="5" t="s">
        <v>1124</v>
      </c>
      <c r="W14" s="9" t="s">
        <v>64</v>
      </c>
      <c r="X14" s="9"/>
      <c r="Y14" s="9" t="n">
        <v>3</v>
      </c>
      <c r="Z14" s="5" t="s">
        <v>596</v>
      </c>
    </row>
    <row r="15" customFormat="false" ht="35.05" hidden="false" customHeight="false" outlineLevel="0" collapsed="false">
      <c r="A15" s="9" t="s">
        <v>153</v>
      </c>
      <c r="B15" s="5" t="s">
        <v>154</v>
      </c>
      <c r="C15" s="9" t="s">
        <v>155</v>
      </c>
      <c r="D15" s="9" t="s">
        <v>156</v>
      </c>
      <c r="E15" s="9" t="s">
        <v>1125</v>
      </c>
      <c r="F15" s="5" t="s">
        <v>1126</v>
      </c>
      <c r="G15" s="5" t="s">
        <v>1127</v>
      </c>
      <c r="H15" s="9"/>
      <c r="I15" s="9" t="s">
        <v>114</v>
      </c>
      <c r="J15" s="9"/>
      <c r="K15" s="9" t="s">
        <v>65</v>
      </c>
      <c r="L15" s="9" t="s">
        <v>44</v>
      </c>
      <c r="M15" s="9" t="s">
        <v>157</v>
      </c>
      <c r="N15" s="9" t="s">
        <v>93</v>
      </c>
      <c r="O15" s="9" t="s">
        <v>1128</v>
      </c>
      <c r="P15" s="10" t="s">
        <v>148</v>
      </c>
      <c r="Q15" s="9"/>
      <c r="R15" s="9" t="s">
        <v>159</v>
      </c>
      <c r="S15" s="9"/>
      <c r="T15" s="9" t="s">
        <v>158</v>
      </c>
      <c r="U15" s="9"/>
      <c r="V15" s="5" t="s">
        <v>1129</v>
      </c>
      <c r="W15" s="9" t="s">
        <v>63</v>
      </c>
      <c r="X15" s="9"/>
      <c r="Y15" s="9" t="n">
        <v>4</v>
      </c>
      <c r="Z15" s="5" t="s">
        <v>160</v>
      </c>
    </row>
    <row r="16" customFormat="false" ht="35.05" hidden="false" customHeight="false" outlineLevel="0" collapsed="false">
      <c r="A16" s="9" t="s">
        <v>398</v>
      </c>
      <c r="B16" s="5" t="s">
        <v>399</v>
      </c>
      <c r="C16" s="9" t="s">
        <v>400</v>
      </c>
      <c r="D16" s="9" t="s">
        <v>92</v>
      </c>
      <c r="E16" s="9" t="s">
        <v>1125</v>
      </c>
      <c r="F16" s="5" t="s">
        <v>1130</v>
      </c>
      <c r="G16" s="5" t="s">
        <v>1131</v>
      </c>
      <c r="H16" s="9" t="s">
        <v>1132</v>
      </c>
      <c r="I16" s="9" t="s">
        <v>114</v>
      </c>
      <c r="J16" s="9"/>
      <c r="K16" s="9" t="s">
        <v>65</v>
      </c>
      <c r="L16" s="9" t="s">
        <v>50</v>
      </c>
      <c r="M16" s="9" t="s">
        <v>402</v>
      </c>
      <c r="N16" s="9" t="s">
        <v>93</v>
      </c>
      <c r="O16" s="9" t="s">
        <v>1133</v>
      </c>
      <c r="P16" s="10" t="s">
        <v>401</v>
      </c>
      <c r="Q16" s="9"/>
      <c r="R16" s="9"/>
      <c r="S16" s="9"/>
      <c r="T16" s="9" t="s">
        <v>1134</v>
      </c>
      <c r="U16" s="9"/>
      <c r="V16" s="5" t="s">
        <v>1135</v>
      </c>
      <c r="W16" s="9" t="s">
        <v>63</v>
      </c>
      <c r="X16" s="9" t="s">
        <v>56</v>
      </c>
      <c r="Y16" s="9" t="n">
        <v>4</v>
      </c>
      <c r="Z16" s="5" t="s">
        <v>1136</v>
      </c>
    </row>
    <row r="17" customFormat="false" ht="57.45" hidden="false" customHeight="false" outlineLevel="0" collapsed="false">
      <c r="A17" s="9" t="s">
        <v>294</v>
      </c>
      <c r="B17" s="5" t="s">
        <v>295</v>
      </c>
      <c r="C17" s="9" t="s">
        <v>296</v>
      </c>
      <c r="D17" s="9" t="s">
        <v>156</v>
      </c>
      <c r="E17" s="9" t="s">
        <v>1125</v>
      </c>
      <c r="F17" s="5" t="s">
        <v>1137</v>
      </c>
      <c r="G17" s="5" t="s">
        <v>1138</v>
      </c>
      <c r="H17" s="9"/>
      <c r="I17" s="9" t="s">
        <v>114</v>
      </c>
      <c r="J17" s="9" t="s">
        <v>1139</v>
      </c>
      <c r="K17" s="9" t="s">
        <v>65</v>
      </c>
      <c r="L17" s="9" t="s">
        <v>51</v>
      </c>
      <c r="M17" s="9" t="s">
        <v>298</v>
      </c>
      <c r="N17" s="9" t="s">
        <v>299</v>
      </c>
      <c r="O17" s="9"/>
      <c r="P17" s="10" t="s">
        <v>297</v>
      </c>
      <c r="Q17" s="9"/>
      <c r="R17" s="9"/>
      <c r="S17" s="9"/>
      <c r="T17" s="9"/>
      <c r="U17" s="9"/>
      <c r="V17" s="5" t="s">
        <v>1140</v>
      </c>
      <c r="W17" s="9" t="s">
        <v>63</v>
      </c>
      <c r="X17" s="9"/>
      <c r="Y17" s="9" t="n">
        <v>4</v>
      </c>
      <c r="Z17" s="5" t="s">
        <v>300</v>
      </c>
    </row>
    <row r="18" customFormat="false" ht="46.25" hidden="false" customHeight="false" outlineLevel="0" collapsed="false">
      <c r="A18" s="9" t="s">
        <v>382</v>
      </c>
      <c r="B18" s="5" t="s">
        <v>383</v>
      </c>
      <c r="C18" s="9" t="s">
        <v>384</v>
      </c>
      <c r="D18" s="9" t="s">
        <v>156</v>
      </c>
      <c r="E18" s="9" t="s">
        <v>1125</v>
      </c>
      <c r="F18" s="5" t="s">
        <v>1141</v>
      </c>
      <c r="G18" s="5" t="s">
        <v>1142</v>
      </c>
      <c r="H18" s="9"/>
      <c r="I18" s="9" t="s">
        <v>114</v>
      </c>
      <c r="J18" s="9" t="s">
        <v>734</v>
      </c>
      <c r="K18" s="9" t="s">
        <v>65</v>
      </c>
      <c r="L18" s="9" t="s">
        <v>51</v>
      </c>
      <c r="M18" s="9" t="s">
        <v>386</v>
      </c>
      <c r="N18" s="9" t="s">
        <v>387</v>
      </c>
      <c r="O18" s="9"/>
      <c r="P18" s="10" t="s">
        <v>385</v>
      </c>
      <c r="Q18" s="9"/>
      <c r="R18" s="9"/>
      <c r="S18" s="9" t="s">
        <v>389</v>
      </c>
      <c r="T18" s="9" t="s">
        <v>388</v>
      </c>
      <c r="U18" s="9"/>
      <c r="V18" s="5" t="s">
        <v>1143</v>
      </c>
      <c r="W18" s="9" t="s">
        <v>63</v>
      </c>
      <c r="X18" s="9"/>
      <c r="Y18" s="9" t="n">
        <v>4</v>
      </c>
      <c r="Z18" s="5" t="s">
        <v>390</v>
      </c>
    </row>
    <row r="19" customFormat="false" ht="23.85" hidden="false" customHeight="false" outlineLevel="0" collapsed="false">
      <c r="A19" s="9" t="s">
        <v>330</v>
      </c>
      <c r="B19" s="5" t="s">
        <v>331</v>
      </c>
      <c r="C19" s="9" t="s">
        <v>331</v>
      </c>
      <c r="D19" s="9" t="s">
        <v>92</v>
      </c>
      <c r="E19" s="9" t="s">
        <v>1125</v>
      </c>
      <c r="F19" s="5" t="s">
        <v>1144</v>
      </c>
      <c r="G19" s="5"/>
      <c r="H19" s="9"/>
      <c r="I19" s="9" t="s">
        <v>114</v>
      </c>
      <c r="J19" s="9"/>
      <c r="K19" s="9" t="s">
        <v>67</v>
      </c>
      <c r="L19" s="9" t="s">
        <v>50</v>
      </c>
      <c r="M19" s="9" t="s">
        <v>332</v>
      </c>
      <c r="N19" s="9" t="s">
        <v>93</v>
      </c>
      <c r="O19" s="9"/>
      <c r="P19" s="9"/>
      <c r="Q19" s="9"/>
      <c r="R19" s="9"/>
      <c r="S19" s="9"/>
      <c r="T19" s="9" t="s">
        <v>1145</v>
      </c>
      <c r="U19" s="9"/>
      <c r="V19" s="5" t="s">
        <v>1146</v>
      </c>
      <c r="W19" s="9" t="s">
        <v>63</v>
      </c>
      <c r="X19" s="9" t="s">
        <v>56</v>
      </c>
      <c r="Y19" s="9" t="n">
        <v>3</v>
      </c>
      <c r="Z19" s="5" t="s">
        <v>1147</v>
      </c>
    </row>
    <row r="20" customFormat="false" ht="23.85" hidden="false" customHeight="false" outlineLevel="0" collapsed="false">
      <c r="A20" s="9" t="s">
        <v>506</v>
      </c>
      <c r="B20" s="5" t="s">
        <v>507</v>
      </c>
      <c r="C20" s="9" t="s">
        <v>508</v>
      </c>
      <c r="D20" s="9" t="s">
        <v>92</v>
      </c>
      <c r="E20" s="9" t="s">
        <v>1148</v>
      </c>
      <c r="F20" s="5" t="s">
        <v>1149</v>
      </c>
      <c r="G20" s="5" t="s">
        <v>1150</v>
      </c>
      <c r="H20" s="9"/>
      <c r="I20" s="9" t="s">
        <v>510</v>
      </c>
      <c r="J20" s="9" t="s">
        <v>734</v>
      </c>
      <c r="K20" s="9" t="s">
        <v>65</v>
      </c>
      <c r="L20" s="9" t="s">
        <v>50</v>
      </c>
      <c r="M20" s="9" t="s">
        <v>509</v>
      </c>
      <c r="N20" s="9" t="s">
        <v>93</v>
      </c>
      <c r="O20" s="9"/>
      <c r="P20" s="9"/>
      <c r="Q20" s="9"/>
      <c r="R20" s="9"/>
      <c r="S20" s="9"/>
      <c r="T20" s="9"/>
      <c r="U20" s="9"/>
      <c r="V20" s="5" t="s">
        <v>1151</v>
      </c>
      <c r="W20" s="9" t="s">
        <v>64</v>
      </c>
      <c r="X20" s="9"/>
      <c r="Y20" s="9" t="n">
        <v>1</v>
      </c>
      <c r="Z20" s="9" t="s">
        <v>511</v>
      </c>
    </row>
    <row r="21" customFormat="false" ht="46.25" hidden="false" customHeight="false" outlineLevel="0" collapsed="false">
      <c r="A21" s="9" t="s">
        <v>623</v>
      </c>
      <c r="B21" s="5" t="s">
        <v>624</v>
      </c>
      <c r="C21" s="9" t="s">
        <v>625</v>
      </c>
      <c r="D21" s="9" t="s">
        <v>92</v>
      </c>
      <c r="E21" s="9" t="s">
        <v>1152</v>
      </c>
      <c r="F21" s="5" t="s">
        <v>1153</v>
      </c>
      <c r="G21" s="5" t="s">
        <v>1154</v>
      </c>
      <c r="H21" s="9"/>
      <c r="I21" s="9" t="s">
        <v>114</v>
      </c>
      <c r="J21" s="9" t="s">
        <v>1155</v>
      </c>
      <c r="K21" s="9" t="s">
        <v>65</v>
      </c>
      <c r="L21" s="9" t="s">
        <v>51</v>
      </c>
      <c r="M21" s="9"/>
      <c r="N21" s="9" t="s">
        <v>121</v>
      </c>
      <c r="O21" s="9"/>
      <c r="P21" s="10" t="s">
        <v>626</v>
      </c>
      <c r="Q21" s="9"/>
      <c r="R21" s="9"/>
      <c r="S21" s="9"/>
      <c r="T21" s="9"/>
      <c r="U21" s="9"/>
      <c r="V21" s="5" t="s">
        <v>1156</v>
      </c>
      <c r="W21" s="9" t="s">
        <v>63</v>
      </c>
      <c r="X21" s="9"/>
      <c r="Y21" s="9" t="n">
        <v>4</v>
      </c>
      <c r="Z21" s="5" t="s">
        <v>627</v>
      </c>
    </row>
  </sheetData>
  <hyperlinks>
    <hyperlink ref="P3" r:id="rId1" display="https://www.gerresheimer.com"/>
    <hyperlink ref="P4" r:id="rId2" display="https://bericap.com"/>
    <hyperlink ref="P5" r:id="rId3" display="https://www.berryglobal.com"/>
    <hyperlink ref="P9" r:id="rId4" display="https://www.aptar.com"/>
    <hyperlink ref="P10" r:id="rId5" display="https://berlinpackaging.eu"/>
    <hyperlink ref="P13" r:id="rId6" display="https://aptar.com"/>
    <hyperlink ref="P14" r:id="rId7" display="https://silgandispensing.com"/>
    <hyperlink ref="P15" r:id="rId8" display="https://bericap.com"/>
    <hyperlink ref="P16" r:id="rId9" display="https://www.manjushreeindia.com"/>
    <hyperlink ref="P17" r:id="rId10" display="https://www.gualaclosures.com"/>
    <hyperlink ref="P18" r:id="rId11" display="https://www.kwk.at"/>
    <hyperlink ref="P21" r:id="rId12" display="https://tekni-plex.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7" min="6" style="0" width="5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26"/>
    <col collapsed="false" customWidth="true" hidden="false" outlineLevel="0" max="14" min="14" style="0" width="12"/>
    <col collapsed="false" customWidth="true" hidden="false" outlineLevel="0" max="16" min="15" style="0" width="30"/>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1" min="20" style="0" width="28"/>
    <col collapsed="false" customWidth="true" hidden="false" outlineLevel="0" max="22" min="22" style="0" width="55"/>
    <col collapsed="false" customWidth="true" hidden="false" outlineLevel="0" max="23" min="23" style="0" width="11"/>
    <col collapsed="false" customWidth="true" hidden="false" outlineLevel="0" max="24" min="24" style="0" width="26"/>
    <col collapsed="false" customWidth="true" hidden="false" outlineLevel="0" max="25" min="25" style="0" width="9"/>
    <col collapsed="false" customWidth="true" hidden="false" outlineLevel="0" max="26" min="26" style="0" width="60"/>
  </cols>
  <sheetData>
    <row r="1" customFormat="false" ht="15" hidden="false" customHeight="false" outlineLevel="0" collapsed="false">
      <c r="A1" s="7" t="s">
        <v>1157</v>
      </c>
    </row>
    <row r="2" customFormat="false" ht="31.5" hidden="false" customHeight="true" outlineLevel="0" collapsed="false">
      <c r="A2" s="6" t="s">
        <v>72</v>
      </c>
      <c r="B2" s="6" t="s">
        <v>73</v>
      </c>
      <c r="C2" s="6" t="s">
        <v>74</v>
      </c>
      <c r="D2" s="6" t="s">
        <v>30</v>
      </c>
      <c r="E2" s="6" t="s">
        <v>703</v>
      </c>
      <c r="F2" s="6" t="s">
        <v>704</v>
      </c>
      <c r="G2" s="6" t="s">
        <v>705</v>
      </c>
      <c r="H2" s="6" t="s">
        <v>706</v>
      </c>
      <c r="I2" s="6" t="s">
        <v>707</v>
      </c>
      <c r="J2" s="6" t="s">
        <v>708</v>
      </c>
      <c r="K2" s="6" t="s">
        <v>34</v>
      </c>
      <c r="L2" s="6" t="s">
        <v>78</v>
      </c>
      <c r="M2" s="6" t="s">
        <v>76</v>
      </c>
      <c r="N2" s="6" t="s">
        <v>77</v>
      </c>
      <c r="O2" s="6" t="s">
        <v>709</v>
      </c>
      <c r="P2" s="6" t="s">
        <v>75</v>
      </c>
      <c r="Q2" s="6" t="s">
        <v>86</v>
      </c>
      <c r="R2" s="6" t="s">
        <v>83</v>
      </c>
      <c r="S2" s="6" t="s">
        <v>84</v>
      </c>
      <c r="T2" s="6" t="s">
        <v>82</v>
      </c>
      <c r="U2" s="6" t="s">
        <v>85</v>
      </c>
      <c r="V2" s="6" t="s">
        <v>710</v>
      </c>
      <c r="W2" s="6" t="s">
        <v>32</v>
      </c>
      <c r="X2" s="6" t="s">
        <v>711</v>
      </c>
      <c r="Y2" s="6" t="s">
        <v>88</v>
      </c>
      <c r="Z2" s="6" t="s">
        <v>14</v>
      </c>
    </row>
    <row r="3" customFormat="false" ht="35.05" hidden="false" customHeight="false" outlineLevel="0" collapsed="false">
      <c r="A3" s="9" t="s">
        <v>474</v>
      </c>
      <c r="B3" s="5" t="s">
        <v>475</v>
      </c>
      <c r="C3" s="9" t="s">
        <v>476</v>
      </c>
      <c r="D3" s="9" t="s">
        <v>156</v>
      </c>
      <c r="E3" s="9" t="s">
        <v>1158</v>
      </c>
      <c r="F3" s="5" t="s">
        <v>1159</v>
      </c>
      <c r="G3" s="5" t="s">
        <v>1160</v>
      </c>
      <c r="H3" s="9" t="s">
        <v>1161</v>
      </c>
      <c r="I3" s="9" t="s">
        <v>114</v>
      </c>
      <c r="J3" s="9" t="s">
        <v>1162</v>
      </c>
      <c r="K3" s="9" t="s">
        <v>65</v>
      </c>
      <c r="L3" s="9" t="s">
        <v>45</v>
      </c>
      <c r="M3" s="9"/>
      <c r="N3" s="9" t="s">
        <v>93</v>
      </c>
      <c r="O3" s="9" t="s">
        <v>1163</v>
      </c>
      <c r="P3" s="10" t="s">
        <v>477</v>
      </c>
      <c r="Q3" s="9"/>
      <c r="R3" s="9"/>
      <c r="S3" s="9"/>
      <c r="T3" s="9" t="s">
        <v>478</v>
      </c>
      <c r="U3" s="9"/>
      <c r="V3" s="5" t="s">
        <v>1164</v>
      </c>
      <c r="W3" s="9" t="s">
        <v>63</v>
      </c>
      <c r="X3" s="9"/>
      <c r="Y3" s="9" t="n">
        <v>3</v>
      </c>
      <c r="Z3" s="5" t="s">
        <v>479</v>
      </c>
    </row>
    <row r="4" customFormat="false" ht="46.25" hidden="false" customHeight="false" outlineLevel="0" collapsed="false">
      <c r="A4" s="9" t="s">
        <v>277</v>
      </c>
      <c r="B4" s="5" t="s">
        <v>278</v>
      </c>
      <c r="C4" s="9" t="s">
        <v>279</v>
      </c>
      <c r="D4" s="9" t="s">
        <v>156</v>
      </c>
      <c r="E4" s="9" t="s">
        <v>1158</v>
      </c>
      <c r="F4" s="5" t="s">
        <v>1165</v>
      </c>
      <c r="G4" s="5" t="s">
        <v>1166</v>
      </c>
      <c r="H4" s="9" t="s">
        <v>1167</v>
      </c>
      <c r="I4" s="9" t="s">
        <v>114</v>
      </c>
      <c r="J4" s="9" t="s">
        <v>1168</v>
      </c>
      <c r="K4" s="9" t="s">
        <v>66</v>
      </c>
      <c r="L4" s="9" t="s">
        <v>44</v>
      </c>
      <c r="M4" s="9"/>
      <c r="N4" s="9" t="s">
        <v>93</v>
      </c>
      <c r="O4" s="9" t="s">
        <v>1169</v>
      </c>
      <c r="P4" s="10" t="s">
        <v>280</v>
      </c>
      <c r="Q4" s="9"/>
      <c r="R4" s="9"/>
      <c r="S4" s="9"/>
      <c r="T4" s="9" t="s">
        <v>281</v>
      </c>
      <c r="U4" s="9"/>
      <c r="V4" s="5" t="s">
        <v>1170</v>
      </c>
      <c r="W4" s="9" t="s">
        <v>63</v>
      </c>
      <c r="X4" s="9"/>
      <c r="Y4" s="9" t="n">
        <v>2</v>
      </c>
      <c r="Z4" s="5" t="s">
        <v>282</v>
      </c>
    </row>
    <row r="5" customFormat="false" ht="46.25" hidden="false" customHeight="false" outlineLevel="0" collapsed="false">
      <c r="A5" s="9" t="s">
        <v>601</v>
      </c>
      <c r="B5" s="5" t="s">
        <v>602</v>
      </c>
      <c r="C5" s="9" t="s">
        <v>603</v>
      </c>
      <c r="D5" s="9" t="s">
        <v>92</v>
      </c>
      <c r="E5" s="9" t="s">
        <v>1158</v>
      </c>
      <c r="F5" s="5" t="s">
        <v>1171</v>
      </c>
      <c r="G5" s="5" t="s">
        <v>1160</v>
      </c>
      <c r="H5" s="9" t="s">
        <v>1172</v>
      </c>
      <c r="I5" s="9" t="s">
        <v>114</v>
      </c>
      <c r="J5" s="9" t="s">
        <v>1173</v>
      </c>
      <c r="K5" s="9" t="s">
        <v>66</v>
      </c>
      <c r="L5" s="9" t="s">
        <v>47</v>
      </c>
      <c r="M5" s="9"/>
      <c r="N5" s="9" t="s">
        <v>93</v>
      </c>
      <c r="O5" s="9" t="s">
        <v>1174</v>
      </c>
      <c r="P5" s="10" t="s">
        <v>604</v>
      </c>
      <c r="Q5" s="9"/>
      <c r="R5" s="9"/>
      <c r="S5" s="9"/>
      <c r="T5" s="9" t="s">
        <v>605</v>
      </c>
      <c r="U5" s="9"/>
      <c r="V5" s="5" t="s">
        <v>1175</v>
      </c>
      <c r="W5" s="9" t="s">
        <v>63</v>
      </c>
      <c r="X5" s="9"/>
      <c r="Y5" s="9" t="n">
        <v>3</v>
      </c>
      <c r="Z5" s="5" t="s">
        <v>606</v>
      </c>
    </row>
    <row r="6" customFormat="false" ht="35.05" hidden="false" customHeight="false" outlineLevel="0" collapsed="false">
      <c r="A6" s="9" t="s">
        <v>264</v>
      </c>
      <c r="B6" s="5" t="s">
        <v>265</v>
      </c>
      <c r="C6" s="9" t="s">
        <v>266</v>
      </c>
      <c r="D6" s="9" t="s">
        <v>156</v>
      </c>
      <c r="E6" s="9" t="s">
        <v>1158</v>
      </c>
      <c r="F6" s="5" t="s">
        <v>1176</v>
      </c>
      <c r="G6" s="5" t="s">
        <v>1160</v>
      </c>
      <c r="H6" s="9"/>
      <c r="I6" s="9" t="s">
        <v>114</v>
      </c>
      <c r="J6" s="9" t="s">
        <v>1173</v>
      </c>
      <c r="K6" s="9" t="s">
        <v>66</v>
      </c>
      <c r="L6" s="9" t="s">
        <v>50</v>
      </c>
      <c r="M6" s="9"/>
      <c r="N6" s="9" t="s">
        <v>93</v>
      </c>
      <c r="O6" s="9"/>
      <c r="P6" s="10" t="s">
        <v>267</v>
      </c>
      <c r="Q6" s="9"/>
      <c r="R6" s="9"/>
      <c r="S6" s="9"/>
      <c r="T6" s="9" t="s">
        <v>268</v>
      </c>
      <c r="U6" s="9" t="s">
        <v>269</v>
      </c>
      <c r="V6" s="5" t="s">
        <v>1164</v>
      </c>
      <c r="W6" s="9" t="s">
        <v>63</v>
      </c>
      <c r="X6" s="9"/>
      <c r="Y6" s="9" t="n">
        <v>2</v>
      </c>
      <c r="Z6" s="5" t="s">
        <v>270</v>
      </c>
    </row>
    <row r="7" customFormat="false" ht="35.05" hidden="false" customHeight="false" outlineLevel="0" collapsed="false">
      <c r="A7" s="9" t="s">
        <v>375</v>
      </c>
      <c r="B7" s="5" t="s">
        <v>376</v>
      </c>
      <c r="C7" s="9" t="s">
        <v>377</v>
      </c>
      <c r="D7" s="9" t="s">
        <v>156</v>
      </c>
      <c r="E7" s="9" t="s">
        <v>1158</v>
      </c>
      <c r="F7" s="5" t="s">
        <v>1177</v>
      </c>
      <c r="G7" s="5" t="s">
        <v>1160</v>
      </c>
      <c r="H7" s="9" t="s">
        <v>1178</v>
      </c>
      <c r="I7" s="9" t="s">
        <v>114</v>
      </c>
      <c r="J7" s="9" t="s">
        <v>1173</v>
      </c>
      <c r="K7" s="9" t="s">
        <v>66</v>
      </c>
      <c r="L7" s="9" t="s">
        <v>50</v>
      </c>
      <c r="M7" s="9"/>
      <c r="N7" s="9" t="s">
        <v>93</v>
      </c>
      <c r="O7" s="9"/>
      <c r="P7" s="10" t="s">
        <v>378</v>
      </c>
      <c r="Q7" s="9"/>
      <c r="R7" s="9"/>
      <c r="S7" s="9"/>
      <c r="T7" s="9" t="s">
        <v>379</v>
      </c>
      <c r="U7" s="9" t="s">
        <v>380</v>
      </c>
      <c r="V7" s="5" t="s">
        <v>1164</v>
      </c>
      <c r="W7" s="9" t="s">
        <v>63</v>
      </c>
      <c r="X7" s="9"/>
      <c r="Y7" s="9" t="n">
        <v>2</v>
      </c>
      <c r="Z7" s="5" t="s">
        <v>381</v>
      </c>
    </row>
    <row r="8" customFormat="false" ht="57.45" hidden="false" customHeight="false" outlineLevel="0" collapsed="false">
      <c r="A8" s="9" t="s">
        <v>607</v>
      </c>
      <c r="B8" s="5" t="s">
        <v>608</v>
      </c>
      <c r="C8" s="9" t="s">
        <v>609</v>
      </c>
      <c r="D8" s="9" t="s">
        <v>92</v>
      </c>
      <c r="E8" s="9" t="s">
        <v>1158</v>
      </c>
      <c r="F8" s="5" t="s">
        <v>1179</v>
      </c>
      <c r="G8" s="5" t="s">
        <v>1160</v>
      </c>
      <c r="H8" s="9"/>
      <c r="I8" s="9" t="s">
        <v>114</v>
      </c>
      <c r="J8" s="9" t="s">
        <v>1173</v>
      </c>
      <c r="K8" s="9" t="s">
        <v>66</v>
      </c>
      <c r="L8" s="9" t="s">
        <v>51</v>
      </c>
      <c r="M8" s="9"/>
      <c r="N8" s="9" t="s">
        <v>610</v>
      </c>
      <c r="O8" s="9" t="s">
        <v>610</v>
      </c>
      <c r="P8" s="10" t="s">
        <v>604</v>
      </c>
      <c r="Q8" s="9"/>
      <c r="R8" s="9"/>
      <c r="S8" s="9"/>
      <c r="T8" s="9" t="s">
        <v>611</v>
      </c>
      <c r="U8" s="9"/>
      <c r="V8" s="5" t="s">
        <v>1180</v>
      </c>
      <c r="W8" s="9" t="s">
        <v>63</v>
      </c>
      <c r="X8" s="9"/>
      <c r="Y8" s="9" t="n">
        <v>1</v>
      </c>
      <c r="Z8" s="9" t="s">
        <v>612</v>
      </c>
    </row>
    <row r="9" customFormat="false" ht="57.45" hidden="false" customHeight="false" outlineLevel="0" collapsed="false">
      <c r="A9" s="9" t="s">
        <v>613</v>
      </c>
      <c r="B9" s="5" t="s">
        <v>614</v>
      </c>
      <c r="C9" s="9" t="s">
        <v>615</v>
      </c>
      <c r="D9" s="9" t="s">
        <v>92</v>
      </c>
      <c r="E9" s="9" t="s">
        <v>1158</v>
      </c>
      <c r="F9" s="5" t="s">
        <v>1181</v>
      </c>
      <c r="G9" s="5" t="s">
        <v>1160</v>
      </c>
      <c r="H9" s="9"/>
      <c r="I9" s="9" t="s">
        <v>114</v>
      </c>
      <c r="J9" s="9" t="s">
        <v>1173</v>
      </c>
      <c r="K9" s="9" t="s">
        <v>66</v>
      </c>
      <c r="L9" s="9" t="s">
        <v>51</v>
      </c>
      <c r="M9" s="9"/>
      <c r="N9" s="9" t="s">
        <v>616</v>
      </c>
      <c r="O9" s="9" t="s">
        <v>616</v>
      </c>
      <c r="P9" s="10" t="s">
        <v>604</v>
      </c>
      <c r="Q9" s="9"/>
      <c r="R9" s="9"/>
      <c r="S9" s="9"/>
      <c r="T9" s="9" t="s">
        <v>611</v>
      </c>
      <c r="U9" s="9"/>
      <c r="V9" s="5" t="s">
        <v>1180</v>
      </c>
      <c r="W9" s="9" t="s">
        <v>63</v>
      </c>
      <c r="X9" s="9"/>
      <c r="Y9" s="9" t="n">
        <v>1</v>
      </c>
      <c r="Z9" s="9" t="s">
        <v>612</v>
      </c>
    </row>
  </sheetData>
  <hyperlinks>
    <hyperlink ref="P3" r:id="rId1" display="https://www.polyplex.com"/>
    <hyperlink ref="P4" r:id="rId2" display="https://www.garwarehitechfilms.com"/>
    <hyperlink ref="P5" r:id="rId3" display="https://www.srf.com"/>
    <hyperlink ref="P6" r:id="rId4" display="https://www.esterindustries.com"/>
    <hyperlink ref="P7" r:id="rId5" display="https://www.jindalpoly.com"/>
    <hyperlink ref="P8" r:id="rId6" display="https://www.srf.com"/>
    <hyperlink ref="P9" r:id="rId7" display="https://www.srf.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8"/>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5" min="5" style="0" width="30"/>
    <col collapsed="false" customWidth="true" hidden="false" outlineLevel="0" max="7" min="6" style="0" width="5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26"/>
    <col collapsed="false" customWidth="true" hidden="false" outlineLevel="0" max="14" min="14" style="0" width="12"/>
    <col collapsed="false" customWidth="true" hidden="false" outlineLevel="0" max="16" min="15" style="0" width="30"/>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1" min="20" style="0" width="28"/>
    <col collapsed="false" customWidth="true" hidden="false" outlineLevel="0" max="22" min="22" style="0" width="55"/>
    <col collapsed="false" customWidth="true" hidden="false" outlineLevel="0" max="23" min="23" style="0" width="11"/>
    <col collapsed="false" customWidth="true" hidden="false" outlineLevel="0" max="24" min="24" style="0" width="26"/>
    <col collapsed="false" customWidth="true" hidden="false" outlineLevel="0" max="25" min="25" style="0" width="9"/>
    <col collapsed="false" customWidth="true" hidden="false" outlineLevel="0" max="26" min="26" style="0" width="60"/>
  </cols>
  <sheetData>
    <row r="1" customFormat="false" ht="15" hidden="false" customHeight="false" outlineLevel="0" collapsed="false">
      <c r="A1" s="7" t="s">
        <v>1182</v>
      </c>
    </row>
    <row r="2" customFormat="false" ht="31.5" hidden="false" customHeight="true" outlineLevel="0" collapsed="false">
      <c r="A2" s="6" t="s">
        <v>72</v>
      </c>
      <c r="B2" s="6" t="s">
        <v>73</v>
      </c>
      <c r="C2" s="6" t="s">
        <v>74</v>
      </c>
      <c r="D2" s="6" t="s">
        <v>30</v>
      </c>
      <c r="E2" s="6" t="s">
        <v>703</v>
      </c>
      <c r="F2" s="6" t="s">
        <v>704</v>
      </c>
      <c r="G2" s="6" t="s">
        <v>705</v>
      </c>
      <c r="H2" s="6" t="s">
        <v>706</v>
      </c>
      <c r="I2" s="6" t="s">
        <v>707</v>
      </c>
      <c r="J2" s="6" t="s">
        <v>708</v>
      </c>
      <c r="K2" s="6" t="s">
        <v>34</v>
      </c>
      <c r="L2" s="6" t="s">
        <v>78</v>
      </c>
      <c r="M2" s="6" t="s">
        <v>76</v>
      </c>
      <c r="N2" s="6" t="s">
        <v>77</v>
      </c>
      <c r="O2" s="6" t="s">
        <v>709</v>
      </c>
      <c r="P2" s="6" t="s">
        <v>75</v>
      </c>
      <c r="Q2" s="6" t="s">
        <v>86</v>
      </c>
      <c r="R2" s="6" t="s">
        <v>83</v>
      </c>
      <c r="S2" s="6" t="s">
        <v>84</v>
      </c>
      <c r="T2" s="6" t="s">
        <v>82</v>
      </c>
      <c r="U2" s="6" t="s">
        <v>85</v>
      </c>
      <c r="V2" s="6" t="s">
        <v>710</v>
      </c>
      <c r="W2" s="6" t="s">
        <v>32</v>
      </c>
      <c r="X2" s="6" t="s">
        <v>711</v>
      </c>
      <c r="Y2" s="6" t="s">
        <v>88</v>
      </c>
      <c r="Z2" s="6" t="s">
        <v>14</v>
      </c>
    </row>
    <row r="3" customFormat="false" ht="57.45" hidden="false" customHeight="false" outlineLevel="0" collapsed="false">
      <c r="A3" s="9" t="s">
        <v>667</v>
      </c>
      <c r="B3" s="5" t="s">
        <v>668</v>
      </c>
      <c r="C3" s="9" t="s">
        <v>669</v>
      </c>
      <c r="D3" s="9" t="s">
        <v>156</v>
      </c>
      <c r="E3" s="9" t="s">
        <v>1183</v>
      </c>
      <c r="F3" s="5" t="s">
        <v>1184</v>
      </c>
      <c r="G3" s="5" t="s">
        <v>1185</v>
      </c>
      <c r="H3" s="9" t="s">
        <v>1186</v>
      </c>
      <c r="I3" s="9" t="s">
        <v>672</v>
      </c>
      <c r="J3" s="9" t="s">
        <v>1187</v>
      </c>
      <c r="K3" s="9" t="s">
        <v>65</v>
      </c>
      <c r="L3" s="9" t="s">
        <v>45</v>
      </c>
      <c r="M3" s="9" t="s">
        <v>671</v>
      </c>
      <c r="N3" s="9" t="s">
        <v>93</v>
      </c>
      <c r="O3" s="9" t="s">
        <v>1188</v>
      </c>
      <c r="P3" s="10" t="s">
        <v>670</v>
      </c>
      <c r="Q3" s="9"/>
      <c r="R3" s="9"/>
      <c r="S3" s="9"/>
      <c r="T3" s="9" t="s">
        <v>673</v>
      </c>
      <c r="U3" s="9"/>
      <c r="V3" s="5" t="s">
        <v>1189</v>
      </c>
      <c r="W3" s="9" t="s">
        <v>63</v>
      </c>
      <c r="X3" s="9"/>
      <c r="Y3" s="9" t="n">
        <v>4</v>
      </c>
      <c r="Z3" s="5" t="s">
        <v>674</v>
      </c>
    </row>
    <row r="4" customFormat="false" ht="91" hidden="false" customHeight="false" outlineLevel="0" collapsed="false">
      <c r="A4" s="9" t="s">
        <v>215</v>
      </c>
      <c r="B4" s="5" t="s">
        <v>216</v>
      </c>
      <c r="C4" s="9" t="s">
        <v>217</v>
      </c>
      <c r="D4" s="9" t="s">
        <v>92</v>
      </c>
      <c r="E4" s="9" t="s">
        <v>1190</v>
      </c>
      <c r="F4" s="5" t="s">
        <v>1191</v>
      </c>
      <c r="G4" s="5"/>
      <c r="H4" s="9"/>
      <c r="I4" s="9" t="s">
        <v>100</v>
      </c>
      <c r="J4" s="9"/>
      <c r="K4" s="9" t="s">
        <v>65</v>
      </c>
      <c r="L4" s="9" t="s">
        <v>44</v>
      </c>
      <c r="M4" s="9" t="s">
        <v>219</v>
      </c>
      <c r="N4" s="9" t="s">
        <v>93</v>
      </c>
      <c r="O4" s="9" t="s">
        <v>1192</v>
      </c>
      <c r="P4" s="10" t="s">
        <v>218</v>
      </c>
      <c r="Q4" s="9"/>
      <c r="R4" s="9"/>
      <c r="S4" s="9"/>
      <c r="T4" s="9" t="s">
        <v>220</v>
      </c>
      <c r="U4" s="9"/>
      <c r="V4" s="5" t="s">
        <v>1193</v>
      </c>
      <c r="W4" s="9" t="s">
        <v>63</v>
      </c>
      <c r="X4" s="9"/>
      <c r="Y4" s="9" t="n">
        <v>6</v>
      </c>
      <c r="Z4" s="5" t="s">
        <v>221</v>
      </c>
    </row>
    <row r="5" customFormat="false" ht="68.65" hidden="false" customHeight="false" outlineLevel="0" collapsed="false">
      <c r="A5" s="9" t="s">
        <v>337</v>
      </c>
      <c r="B5" s="5" t="s">
        <v>338</v>
      </c>
      <c r="C5" s="9" t="s">
        <v>339</v>
      </c>
      <c r="D5" s="9" t="s">
        <v>92</v>
      </c>
      <c r="E5" s="9" t="s">
        <v>1190</v>
      </c>
      <c r="F5" s="5" t="s">
        <v>1194</v>
      </c>
      <c r="G5" s="5"/>
      <c r="H5" s="9"/>
      <c r="I5" s="9" t="s">
        <v>100</v>
      </c>
      <c r="J5" s="9" t="s">
        <v>1195</v>
      </c>
      <c r="K5" s="9" t="s">
        <v>65</v>
      </c>
      <c r="L5" s="9" t="s">
        <v>44</v>
      </c>
      <c r="M5" s="9" t="s">
        <v>341</v>
      </c>
      <c r="N5" s="9" t="s">
        <v>93</v>
      </c>
      <c r="O5" s="9"/>
      <c r="P5" s="10" t="s">
        <v>340</v>
      </c>
      <c r="Q5" s="9"/>
      <c r="R5" s="9"/>
      <c r="S5" s="9"/>
      <c r="T5" s="9" t="s">
        <v>342</v>
      </c>
      <c r="U5" s="9"/>
      <c r="V5" s="5" t="s">
        <v>1196</v>
      </c>
      <c r="W5" s="9" t="s">
        <v>63</v>
      </c>
      <c r="X5" s="9"/>
      <c r="Y5" s="9" t="n">
        <v>5</v>
      </c>
      <c r="Z5" s="5" t="s">
        <v>343</v>
      </c>
    </row>
    <row r="6" customFormat="false" ht="57.45" hidden="false" customHeight="false" outlineLevel="0" collapsed="false">
      <c r="A6" s="9" t="s">
        <v>96</v>
      </c>
      <c r="B6" s="5" t="s">
        <v>97</v>
      </c>
      <c r="C6" s="9" t="s">
        <v>98</v>
      </c>
      <c r="D6" s="9" t="s">
        <v>92</v>
      </c>
      <c r="E6" s="9" t="s">
        <v>1190</v>
      </c>
      <c r="F6" s="5" t="s">
        <v>1197</v>
      </c>
      <c r="G6" s="5"/>
      <c r="H6" s="9"/>
      <c r="I6" s="9" t="s">
        <v>100</v>
      </c>
      <c r="J6" s="9"/>
      <c r="K6" s="9" t="s">
        <v>65</v>
      </c>
      <c r="L6" s="9" t="s">
        <v>50</v>
      </c>
      <c r="M6" s="9" t="s">
        <v>93</v>
      </c>
      <c r="N6" s="9" t="s">
        <v>93</v>
      </c>
      <c r="O6" s="9" t="s">
        <v>1198</v>
      </c>
      <c r="P6" s="10" t="s">
        <v>99</v>
      </c>
      <c r="Q6" s="9"/>
      <c r="R6" s="9"/>
      <c r="S6" s="9"/>
      <c r="T6" s="9" t="s">
        <v>101</v>
      </c>
      <c r="U6" s="9"/>
      <c r="V6" s="5" t="s">
        <v>1199</v>
      </c>
      <c r="W6" s="9" t="s">
        <v>63</v>
      </c>
      <c r="X6" s="9"/>
      <c r="Y6" s="9" t="n">
        <v>4</v>
      </c>
      <c r="Z6" s="5" t="s">
        <v>102</v>
      </c>
    </row>
  </sheetData>
  <hyperlinks>
    <hyperlink ref="P3" r:id="rId1" display="https://www.uflexltd.com"/>
    <hyperlink ref="P4" r:id="rId2" display="https://cflex.com"/>
    <hyperlink ref="P5" r:id="rId3" display="https://www.huhtamaki.com/en/flexible-packaging/about-us/india/"/>
    <hyperlink ref="P6" r:id="rId4" display="https://www.amcor.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0"/>
    <col collapsed="false" customWidth="true" hidden="false" outlineLevel="0" max="6" min="5" style="0" width="22"/>
    <col collapsed="false" customWidth="true" hidden="false" outlineLevel="0" max="7" min="7" style="0" width="30"/>
    <col collapsed="false" customWidth="true" hidden="false" outlineLevel="0" max="9" min="8" style="0" width="50"/>
    <col collapsed="false" customWidth="true" hidden="false" outlineLevel="0" max="10" min="10" style="0" width="34"/>
    <col collapsed="false" customWidth="true" hidden="false" outlineLevel="0" max="11" min="11" style="0" width="24"/>
    <col collapsed="false" customWidth="true" hidden="false" outlineLevel="0" max="12" min="12" style="0" width="28"/>
    <col collapsed="false" customWidth="true" hidden="false" outlineLevel="0" max="13" min="13" style="0" width="18"/>
    <col collapsed="false" customWidth="true" hidden="false" outlineLevel="0" max="14" min="14" style="0" width="14"/>
    <col collapsed="false" customWidth="true" hidden="false" outlineLevel="0" max="15" min="15" style="0" width="26"/>
    <col collapsed="false" customWidth="true" hidden="false" outlineLevel="0" max="16" min="16" style="0" width="12"/>
    <col collapsed="false" customWidth="true" hidden="false" outlineLevel="0" max="18" min="17" style="0" width="30"/>
    <col collapsed="false" customWidth="true" hidden="false" outlineLevel="0" max="19" min="19" style="0" width="34"/>
    <col collapsed="false" customWidth="true" hidden="false" outlineLevel="0" max="20" min="20" style="0" width="30"/>
    <col collapsed="false" customWidth="true" hidden="false" outlineLevel="0" max="21" min="21" style="0" width="26"/>
    <col collapsed="false" customWidth="true" hidden="false" outlineLevel="0" max="23" min="22" style="0" width="28"/>
    <col collapsed="false" customWidth="true" hidden="false" outlineLevel="0" max="24" min="24" style="0" width="55"/>
    <col collapsed="false" customWidth="true" hidden="false" outlineLevel="0" max="25" min="25" style="0" width="11"/>
    <col collapsed="false" customWidth="true" hidden="false" outlineLevel="0" max="26" min="26" style="0" width="26"/>
    <col collapsed="false" customWidth="true" hidden="false" outlineLevel="0" max="27" min="27" style="0" width="9"/>
    <col collapsed="false" customWidth="true" hidden="false" outlineLevel="0" max="28" min="28" style="0" width="60"/>
  </cols>
  <sheetData>
    <row r="1" customFormat="false" ht="31.5" hidden="false" customHeight="true" outlineLevel="0" collapsed="false">
      <c r="A1" s="6" t="s">
        <v>72</v>
      </c>
      <c r="B1" s="6" t="s">
        <v>73</v>
      </c>
      <c r="C1" s="6" t="s">
        <v>74</v>
      </c>
      <c r="D1" s="6" t="s">
        <v>30</v>
      </c>
      <c r="E1" s="6" t="s">
        <v>1200</v>
      </c>
      <c r="F1" s="6" t="s">
        <v>43</v>
      </c>
      <c r="G1" s="6" t="s">
        <v>703</v>
      </c>
      <c r="H1" s="6" t="s">
        <v>704</v>
      </c>
      <c r="I1" s="6" t="s">
        <v>705</v>
      </c>
      <c r="J1" s="6" t="s">
        <v>706</v>
      </c>
      <c r="K1" s="6" t="s">
        <v>707</v>
      </c>
      <c r="L1" s="6" t="s">
        <v>708</v>
      </c>
      <c r="M1" s="6" t="s">
        <v>34</v>
      </c>
      <c r="N1" s="6" t="s">
        <v>78</v>
      </c>
      <c r="O1" s="6" t="s">
        <v>76</v>
      </c>
      <c r="P1" s="6" t="s">
        <v>77</v>
      </c>
      <c r="Q1" s="6" t="s">
        <v>709</v>
      </c>
      <c r="R1" s="6" t="s">
        <v>75</v>
      </c>
      <c r="S1" s="6" t="s">
        <v>86</v>
      </c>
      <c r="T1" s="6" t="s">
        <v>83</v>
      </c>
      <c r="U1" s="6" t="s">
        <v>84</v>
      </c>
      <c r="V1" s="6" t="s">
        <v>82</v>
      </c>
      <c r="W1" s="6" t="s">
        <v>85</v>
      </c>
      <c r="X1" s="6" t="s">
        <v>710</v>
      </c>
      <c r="Y1" s="6" t="s">
        <v>32</v>
      </c>
      <c r="Z1" s="6" t="s">
        <v>711</v>
      </c>
      <c r="AA1" s="6" t="s">
        <v>88</v>
      </c>
      <c r="AB1" s="6" t="s">
        <v>14</v>
      </c>
    </row>
    <row r="2" customFormat="false" ht="46.25" hidden="false" customHeight="false" outlineLevel="0" collapsed="false">
      <c r="A2" s="9" t="s">
        <v>301</v>
      </c>
      <c r="B2" s="5" t="s">
        <v>302</v>
      </c>
      <c r="C2" s="9" t="s">
        <v>303</v>
      </c>
      <c r="D2" s="9" t="s">
        <v>156</v>
      </c>
      <c r="E2" s="9" t="s">
        <v>53</v>
      </c>
      <c r="F2" s="9" t="s">
        <v>53</v>
      </c>
      <c r="G2" s="9" t="s">
        <v>756</v>
      </c>
      <c r="H2" s="5" t="s">
        <v>757</v>
      </c>
      <c r="I2" s="5" t="s">
        <v>758</v>
      </c>
      <c r="J2" s="9" t="s">
        <v>759</v>
      </c>
      <c r="K2" s="9" t="s">
        <v>760</v>
      </c>
      <c r="L2" s="9" t="s">
        <v>761</v>
      </c>
      <c r="M2" s="9" t="s">
        <v>65</v>
      </c>
      <c r="N2" s="9" t="s">
        <v>44</v>
      </c>
      <c r="O2" s="9" t="s">
        <v>219</v>
      </c>
      <c r="P2" s="9" t="s">
        <v>93</v>
      </c>
      <c r="Q2" s="9" t="s">
        <v>762</v>
      </c>
      <c r="R2" s="10" t="s">
        <v>304</v>
      </c>
      <c r="S2" s="9" t="s">
        <v>310</v>
      </c>
      <c r="T2" s="9"/>
      <c r="U2" s="9"/>
      <c r="V2" s="9" t="s">
        <v>763</v>
      </c>
      <c r="W2" s="9"/>
      <c r="X2" s="5" t="s">
        <v>764</v>
      </c>
      <c r="Y2" s="9" t="s">
        <v>62</v>
      </c>
      <c r="Z2" s="9" t="s">
        <v>54</v>
      </c>
      <c r="AA2" s="9" t="n">
        <v>5</v>
      </c>
      <c r="AB2" s="5" t="s">
        <v>765</v>
      </c>
    </row>
    <row r="3" customFormat="false" ht="57.45" hidden="false" customHeight="false" outlineLevel="0" collapsed="false">
      <c r="A3" s="9" t="s">
        <v>564</v>
      </c>
      <c r="B3" s="5" t="s">
        <v>565</v>
      </c>
      <c r="C3" s="9" t="s">
        <v>766</v>
      </c>
      <c r="D3" s="9" t="s">
        <v>156</v>
      </c>
      <c r="E3" s="9" t="s">
        <v>53</v>
      </c>
      <c r="F3" s="9" t="s">
        <v>53</v>
      </c>
      <c r="G3" s="9" t="s">
        <v>756</v>
      </c>
      <c r="H3" s="5" t="s">
        <v>767</v>
      </c>
      <c r="I3" s="5" t="s">
        <v>768</v>
      </c>
      <c r="J3" s="9" t="s">
        <v>769</v>
      </c>
      <c r="K3" s="9" t="s">
        <v>760</v>
      </c>
      <c r="L3" s="9" t="s">
        <v>770</v>
      </c>
      <c r="M3" s="9" t="s">
        <v>65</v>
      </c>
      <c r="N3" s="9" t="s">
        <v>44</v>
      </c>
      <c r="O3" s="9" t="s">
        <v>219</v>
      </c>
      <c r="P3" s="9" t="s">
        <v>93</v>
      </c>
      <c r="Q3" s="9" t="s">
        <v>771</v>
      </c>
      <c r="R3" s="10" t="s">
        <v>567</v>
      </c>
      <c r="S3" s="9"/>
      <c r="T3" s="9" t="s">
        <v>569</v>
      </c>
      <c r="U3" s="9"/>
      <c r="V3" s="9" t="s">
        <v>772</v>
      </c>
      <c r="W3" s="9"/>
      <c r="X3" s="5" t="s">
        <v>773</v>
      </c>
      <c r="Y3" s="9" t="s">
        <v>63</v>
      </c>
      <c r="Z3" s="9" t="s">
        <v>54</v>
      </c>
      <c r="AA3" s="9" t="n">
        <v>3</v>
      </c>
      <c r="AB3" s="5" t="s">
        <v>774</v>
      </c>
    </row>
    <row r="4" customFormat="false" ht="46.25" hidden="false" customHeight="false" outlineLevel="0" collapsed="false">
      <c r="A4" s="9" t="s">
        <v>675</v>
      </c>
      <c r="B4" s="5" t="s">
        <v>676</v>
      </c>
      <c r="C4" s="9"/>
      <c r="D4" s="9" t="s">
        <v>156</v>
      </c>
      <c r="E4" s="9" t="s">
        <v>53</v>
      </c>
      <c r="F4" s="9" t="s">
        <v>53</v>
      </c>
      <c r="G4" s="9" t="s">
        <v>756</v>
      </c>
      <c r="H4" s="5" t="s">
        <v>775</v>
      </c>
      <c r="I4" s="5" t="s">
        <v>776</v>
      </c>
      <c r="J4" s="9" t="s">
        <v>777</v>
      </c>
      <c r="K4" s="9" t="s">
        <v>778</v>
      </c>
      <c r="L4" s="9" t="s">
        <v>779</v>
      </c>
      <c r="M4" s="9" t="s">
        <v>65</v>
      </c>
      <c r="N4" s="9" t="s">
        <v>44</v>
      </c>
      <c r="O4" s="9" t="s">
        <v>780</v>
      </c>
      <c r="P4" s="9" t="s">
        <v>93</v>
      </c>
      <c r="Q4" s="9" t="s">
        <v>781</v>
      </c>
      <c r="R4" s="9"/>
      <c r="S4" s="9" t="s">
        <v>682</v>
      </c>
      <c r="T4" s="9"/>
      <c r="U4" s="9"/>
      <c r="V4" s="9" t="s">
        <v>782</v>
      </c>
      <c r="W4" s="9"/>
      <c r="X4" s="5" t="s">
        <v>783</v>
      </c>
      <c r="Y4" s="9" t="s">
        <v>63</v>
      </c>
      <c r="Z4" s="9" t="s">
        <v>54</v>
      </c>
      <c r="AA4" s="9" t="n">
        <v>3</v>
      </c>
      <c r="AB4" s="5" t="s">
        <v>784</v>
      </c>
    </row>
    <row r="5" customFormat="false" ht="57.45" hidden="false" customHeight="false" outlineLevel="0" collapsed="false">
      <c r="A5" s="9" t="s">
        <v>368</v>
      </c>
      <c r="B5" s="5" t="s">
        <v>369</v>
      </c>
      <c r="C5" s="9"/>
      <c r="D5" s="9" t="s">
        <v>156</v>
      </c>
      <c r="E5" s="9" t="s">
        <v>53</v>
      </c>
      <c r="F5" s="9" t="s">
        <v>53</v>
      </c>
      <c r="G5" s="9" t="s">
        <v>756</v>
      </c>
      <c r="H5" s="5" t="s">
        <v>785</v>
      </c>
      <c r="I5" s="5" t="s">
        <v>786</v>
      </c>
      <c r="J5" s="9"/>
      <c r="K5" s="9" t="s">
        <v>372</v>
      </c>
      <c r="L5" s="9"/>
      <c r="M5" s="9" t="s">
        <v>65</v>
      </c>
      <c r="N5" s="9" t="s">
        <v>44</v>
      </c>
      <c r="O5" s="9" t="s">
        <v>371</v>
      </c>
      <c r="P5" s="9" t="s">
        <v>93</v>
      </c>
      <c r="Q5" s="9" t="s">
        <v>787</v>
      </c>
      <c r="R5" s="10" t="s">
        <v>370</v>
      </c>
      <c r="S5" s="9"/>
      <c r="T5" s="9"/>
      <c r="U5" s="9"/>
      <c r="V5" s="9" t="s">
        <v>373</v>
      </c>
      <c r="W5" s="9"/>
      <c r="X5" s="5" t="s">
        <v>788</v>
      </c>
      <c r="Y5" s="9" t="s">
        <v>64</v>
      </c>
      <c r="Z5" s="9"/>
      <c r="AA5" s="9" t="n">
        <v>3</v>
      </c>
      <c r="AB5" s="5" t="s">
        <v>374</v>
      </c>
    </row>
    <row r="6" customFormat="false" ht="68.65" hidden="false" customHeight="false" outlineLevel="0" collapsed="false">
      <c r="A6" s="9" t="s">
        <v>552</v>
      </c>
      <c r="B6" s="5" t="s">
        <v>553</v>
      </c>
      <c r="C6" s="9" t="s">
        <v>712</v>
      </c>
      <c r="D6" s="9" t="s">
        <v>92</v>
      </c>
      <c r="E6" s="9" t="s">
        <v>53</v>
      </c>
      <c r="F6" s="9" t="s">
        <v>53</v>
      </c>
      <c r="G6" s="9" t="s">
        <v>713</v>
      </c>
      <c r="H6" s="5" t="s">
        <v>714</v>
      </c>
      <c r="I6" s="5" t="s">
        <v>715</v>
      </c>
      <c r="J6" s="9" t="s">
        <v>716</v>
      </c>
      <c r="K6" s="9" t="s">
        <v>717</v>
      </c>
      <c r="L6" s="9" t="s">
        <v>718</v>
      </c>
      <c r="M6" s="9" t="s">
        <v>65</v>
      </c>
      <c r="N6" s="9" t="s">
        <v>50</v>
      </c>
      <c r="O6" s="9" t="s">
        <v>93</v>
      </c>
      <c r="P6" s="9" t="s">
        <v>93</v>
      </c>
      <c r="Q6" s="9" t="s">
        <v>719</v>
      </c>
      <c r="R6" s="10" t="s">
        <v>555</v>
      </c>
      <c r="S6" s="9"/>
      <c r="T6" s="9"/>
      <c r="U6" s="9"/>
      <c r="V6" s="9" t="s">
        <v>720</v>
      </c>
      <c r="W6" s="9"/>
      <c r="X6" s="5" t="s">
        <v>721</v>
      </c>
      <c r="Y6" s="9" t="s">
        <v>63</v>
      </c>
      <c r="Z6" s="9" t="s">
        <v>54</v>
      </c>
      <c r="AA6" s="9" t="n">
        <v>8</v>
      </c>
      <c r="AB6" s="5" t="s">
        <v>722</v>
      </c>
    </row>
    <row r="7" customFormat="false" ht="35.05" hidden="false" customHeight="false" outlineLevel="0" collapsed="false">
      <c r="A7" s="9" t="s">
        <v>351</v>
      </c>
      <c r="B7" s="5" t="s">
        <v>352</v>
      </c>
      <c r="C7" s="9" t="s">
        <v>353</v>
      </c>
      <c r="D7" s="9" t="s">
        <v>92</v>
      </c>
      <c r="E7" s="9" t="s">
        <v>53</v>
      </c>
      <c r="F7" s="9" t="s">
        <v>53</v>
      </c>
      <c r="G7" s="9" t="s">
        <v>713</v>
      </c>
      <c r="H7" s="5" t="s">
        <v>723</v>
      </c>
      <c r="I7" s="5" t="s">
        <v>724</v>
      </c>
      <c r="J7" s="9"/>
      <c r="K7" s="9" t="s">
        <v>114</v>
      </c>
      <c r="L7" s="9" t="s">
        <v>725</v>
      </c>
      <c r="M7" s="9" t="s">
        <v>65</v>
      </c>
      <c r="N7" s="9" t="s">
        <v>51</v>
      </c>
      <c r="O7" s="9" t="s">
        <v>355</v>
      </c>
      <c r="P7" s="9" t="s">
        <v>121</v>
      </c>
      <c r="Q7" s="9"/>
      <c r="R7" s="10" t="s">
        <v>354</v>
      </c>
      <c r="S7" s="9" t="s">
        <v>238</v>
      </c>
      <c r="T7" s="9"/>
      <c r="U7" s="9"/>
      <c r="V7" s="9" t="s">
        <v>356</v>
      </c>
      <c r="W7" s="9"/>
      <c r="X7" s="5" t="s">
        <v>726</v>
      </c>
      <c r="Y7" s="9" t="s">
        <v>62</v>
      </c>
      <c r="Z7" s="9"/>
      <c r="AA7" s="9" t="n">
        <v>3</v>
      </c>
      <c r="AB7" s="5" t="s">
        <v>357</v>
      </c>
    </row>
    <row r="8" customFormat="false" ht="68.65" hidden="false" customHeight="false" outlineLevel="0" collapsed="false">
      <c r="A8" s="9" t="s">
        <v>543</v>
      </c>
      <c r="B8" s="5" t="s">
        <v>544</v>
      </c>
      <c r="C8" s="9" t="s">
        <v>545</v>
      </c>
      <c r="D8" s="9" t="s">
        <v>92</v>
      </c>
      <c r="E8" s="9" t="s">
        <v>53</v>
      </c>
      <c r="F8" s="9" t="s">
        <v>53</v>
      </c>
      <c r="G8" s="9" t="s">
        <v>713</v>
      </c>
      <c r="H8" s="5" t="s">
        <v>727</v>
      </c>
      <c r="I8" s="5" t="s">
        <v>728</v>
      </c>
      <c r="J8" s="9"/>
      <c r="K8" s="9" t="s">
        <v>114</v>
      </c>
      <c r="L8" s="9" t="s">
        <v>729</v>
      </c>
      <c r="M8" s="9" t="s">
        <v>65</v>
      </c>
      <c r="N8" s="9" t="s">
        <v>51</v>
      </c>
      <c r="O8" s="9" t="s">
        <v>547</v>
      </c>
      <c r="P8" s="9" t="s">
        <v>548</v>
      </c>
      <c r="Q8" s="9" t="s">
        <v>730</v>
      </c>
      <c r="R8" s="10" t="s">
        <v>546</v>
      </c>
      <c r="S8" s="9" t="s">
        <v>550</v>
      </c>
      <c r="T8" s="9"/>
      <c r="U8" s="9"/>
      <c r="V8" s="9" t="s">
        <v>549</v>
      </c>
      <c r="W8" s="9"/>
      <c r="X8" s="5" t="s">
        <v>731</v>
      </c>
      <c r="Y8" s="9" t="s">
        <v>62</v>
      </c>
      <c r="Z8" s="9"/>
      <c r="AA8" s="9" t="n">
        <v>5</v>
      </c>
      <c r="AB8" s="5" t="s">
        <v>551</v>
      </c>
    </row>
    <row r="9" customFormat="false" ht="23.85" hidden="false" customHeight="false" outlineLevel="0" collapsed="false">
      <c r="A9" s="9" t="s">
        <v>124</v>
      </c>
      <c r="B9" s="5" t="s">
        <v>125</v>
      </c>
      <c r="C9" s="9" t="s">
        <v>126</v>
      </c>
      <c r="D9" s="9" t="s">
        <v>92</v>
      </c>
      <c r="E9" s="9" t="s">
        <v>53</v>
      </c>
      <c r="F9" s="9" t="s">
        <v>53</v>
      </c>
      <c r="G9" s="9" t="s">
        <v>756</v>
      </c>
      <c r="H9" s="5" t="s">
        <v>789</v>
      </c>
      <c r="I9" s="5" t="s">
        <v>790</v>
      </c>
      <c r="J9" s="9"/>
      <c r="K9" s="9" t="s">
        <v>114</v>
      </c>
      <c r="L9" s="9" t="s">
        <v>791</v>
      </c>
      <c r="M9" s="9" t="s">
        <v>65</v>
      </c>
      <c r="N9" s="9" t="s">
        <v>51</v>
      </c>
      <c r="O9" s="9" t="s">
        <v>128</v>
      </c>
      <c r="P9" s="9" t="s">
        <v>121</v>
      </c>
      <c r="Q9" s="9"/>
      <c r="R9" s="10" t="s">
        <v>127</v>
      </c>
      <c r="S9" s="9"/>
      <c r="T9" s="9"/>
      <c r="U9" s="9"/>
      <c r="V9" s="9" t="s">
        <v>129</v>
      </c>
      <c r="W9" s="9"/>
      <c r="X9" s="5" t="s">
        <v>792</v>
      </c>
      <c r="Y9" s="9" t="s">
        <v>63</v>
      </c>
      <c r="Z9" s="9"/>
      <c r="AA9" s="9" t="n">
        <v>3</v>
      </c>
      <c r="AB9" s="5" t="s">
        <v>130</v>
      </c>
    </row>
    <row r="10" customFormat="false" ht="35.05" hidden="false" customHeight="false" outlineLevel="0" collapsed="false">
      <c r="A10" s="9" t="s">
        <v>137</v>
      </c>
      <c r="B10" s="5" t="s">
        <v>138</v>
      </c>
      <c r="C10" s="9" t="s">
        <v>139</v>
      </c>
      <c r="D10" s="9" t="s">
        <v>92</v>
      </c>
      <c r="E10" s="9" t="s">
        <v>53</v>
      </c>
      <c r="F10" s="9" t="s">
        <v>53</v>
      </c>
      <c r="G10" s="9" t="s">
        <v>796</v>
      </c>
      <c r="H10" s="5" t="s">
        <v>797</v>
      </c>
      <c r="I10" s="5" t="s">
        <v>798</v>
      </c>
      <c r="J10" s="9"/>
      <c r="K10" s="9" t="s">
        <v>142</v>
      </c>
      <c r="L10" s="9" t="s">
        <v>799</v>
      </c>
      <c r="M10" s="9" t="s">
        <v>65</v>
      </c>
      <c r="N10" s="9" t="s">
        <v>51</v>
      </c>
      <c r="O10" s="9" t="s">
        <v>141</v>
      </c>
      <c r="P10" s="9" t="s">
        <v>121</v>
      </c>
      <c r="Q10" s="9"/>
      <c r="R10" s="10" t="s">
        <v>140</v>
      </c>
      <c r="S10" s="9"/>
      <c r="T10" s="9"/>
      <c r="U10" s="9"/>
      <c r="V10" s="9" t="s">
        <v>143</v>
      </c>
      <c r="W10" s="9"/>
      <c r="X10" s="5" t="s">
        <v>800</v>
      </c>
      <c r="Y10" s="9" t="s">
        <v>63</v>
      </c>
      <c r="Z10" s="9"/>
      <c r="AA10" s="9" t="n">
        <v>4</v>
      </c>
      <c r="AB10" s="5" t="s">
        <v>144</v>
      </c>
    </row>
    <row r="11" customFormat="false" ht="23.85" hidden="false" customHeight="false" outlineLevel="0" collapsed="false">
      <c r="A11" s="9" t="s">
        <v>173</v>
      </c>
      <c r="B11" s="5" t="s">
        <v>174</v>
      </c>
      <c r="C11" s="9" t="s">
        <v>175</v>
      </c>
      <c r="D11" s="9" t="s">
        <v>92</v>
      </c>
      <c r="E11" s="9" t="s">
        <v>53</v>
      </c>
      <c r="F11" s="9" t="s">
        <v>53</v>
      </c>
      <c r="G11" s="9" t="s">
        <v>796</v>
      </c>
      <c r="H11" s="5" t="s">
        <v>801</v>
      </c>
      <c r="I11" s="5" t="s">
        <v>802</v>
      </c>
      <c r="J11" s="9"/>
      <c r="K11" s="9" t="s">
        <v>106</v>
      </c>
      <c r="L11" s="9" t="s">
        <v>803</v>
      </c>
      <c r="M11" s="9" t="s">
        <v>65</v>
      </c>
      <c r="N11" s="9" t="s">
        <v>51</v>
      </c>
      <c r="O11" s="9" t="s">
        <v>177</v>
      </c>
      <c r="P11" s="9" t="s">
        <v>150</v>
      </c>
      <c r="Q11" s="9"/>
      <c r="R11" s="10" t="s">
        <v>176</v>
      </c>
      <c r="S11" s="9"/>
      <c r="T11" s="9"/>
      <c r="U11" s="9"/>
      <c r="V11" s="9"/>
      <c r="W11" s="9"/>
      <c r="X11" s="5" t="s">
        <v>804</v>
      </c>
      <c r="Y11" s="9" t="s">
        <v>63</v>
      </c>
      <c r="Z11" s="9"/>
      <c r="AA11" s="9" t="n">
        <v>2</v>
      </c>
      <c r="AB11" s="5" t="s">
        <v>178</v>
      </c>
    </row>
    <row r="12" customFormat="false" ht="46.25" hidden="false" customHeight="false" outlineLevel="0" collapsed="false">
      <c r="A12" s="9" t="s">
        <v>179</v>
      </c>
      <c r="B12" s="5" t="s">
        <v>180</v>
      </c>
      <c r="C12" s="9" t="s">
        <v>181</v>
      </c>
      <c r="D12" s="9" t="s">
        <v>92</v>
      </c>
      <c r="E12" s="9" t="s">
        <v>53</v>
      </c>
      <c r="F12" s="9" t="s">
        <v>53</v>
      </c>
      <c r="G12" s="9" t="s">
        <v>713</v>
      </c>
      <c r="H12" s="5" t="s">
        <v>732</v>
      </c>
      <c r="I12" s="5" t="s">
        <v>733</v>
      </c>
      <c r="J12" s="9"/>
      <c r="K12" s="9" t="s">
        <v>114</v>
      </c>
      <c r="L12" s="9" t="s">
        <v>734</v>
      </c>
      <c r="M12" s="9" t="s">
        <v>65</v>
      </c>
      <c r="N12" s="9" t="s">
        <v>51</v>
      </c>
      <c r="O12" s="9" t="s">
        <v>183</v>
      </c>
      <c r="P12" s="9" t="s">
        <v>183</v>
      </c>
      <c r="Q12" s="9"/>
      <c r="R12" s="10" t="s">
        <v>182</v>
      </c>
      <c r="S12" s="9" t="s">
        <v>185</v>
      </c>
      <c r="T12" s="9"/>
      <c r="U12" s="9"/>
      <c r="V12" s="9" t="s">
        <v>184</v>
      </c>
      <c r="W12" s="9"/>
      <c r="X12" s="5" t="s">
        <v>735</v>
      </c>
      <c r="Y12" s="9" t="s">
        <v>63</v>
      </c>
      <c r="Z12" s="9"/>
      <c r="AA12" s="9" t="n">
        <v>5</v>
      </c>
      <c r="AB12" s="5" t="s">
        <v>186</v>
      </c>
    </row>
    <row r="13" customFormat="false" ht="35.05" hidden="false" customHeight="false" outlineLevel="0" collapsed="false">
      <c r="A13" s="9" t="s">
        <v>187</v>
      </c>
      <c r="B13" s="5" t="s">
        <v>188</v>
      </c>
      <c r="C13" s="9" t="s">
        <v>189</v>
      </c>
      <c r="D13" s="9" t="s">
        <v>92</v>
      </c>
      <c r="E13" s="9" t="s">
        <v>53</v>
      </c>
      <c r="F13" s="9" t="s">
        <v>53</v>
      </c>
      <c r="G13" s="9" t="s">
        <v>751</v>
      </c>
      <c r="H13" s="5" t="s">
        <v>752</v>
      </c>
      <c r="I13" s="5" t="s">
        <v>753</v>
      </c>
      <c r="J13" s="9"/>
      <c r="K13" s="9" t="s">
        <v>114</v>
      </c>
      <c r="L13" s="9" t="s">
        <v>754</v>
      </c>
      <c r="M13" s="9" t="s">
        <v>65</v>
      </c>
      <c r="N13" s="9" t="s">
        <v>51</v>
      </c>
      <c r="O13" s="9" t="s">
        <v>191</v>
      </c>
      <c r="P13" s="9" t="s">
        <v>121</v>
      </c>
      <c r="Q13" s="9"/>
      <c r="R13" s="10" t="s">
        <v>190</v>
      </c>
      <c r="S13" s="9"/>
      <c r="T13" s="9"/>
      <c r="U13" s="9"/>
      <c r="V13" s="9" t="s">
        <v>192</v>
      </c>
      <c r="W13" s="9"/>
      <c r="X13" s="5" t="s">
        <v>755</v>
      </c>
      <c r="Y13" s="9" t="s">
        <v>63</v>
      </c>
      <c r="Z13" s="9"/>
      <c r="AA13" s="9" t="n">
        <v>2</v>
      </c>
      <c r="AB13" s="5" t="s">
        <v>193</v>
      </c>
    </row>
    <row r="14" customFormat="false" ht="23.85" hidden="false" customHeight="false" outlineLevel="0" collapsed="false">
      <c r="A14" s="9" t="s">
        <v>222</v>
      </c>
      <c r="B14" s="5" t="s">
        <v>223</v>
      </c>
      <c r="C14" s="9" t="s">
        <v>224</v>
      </c>
      <c r="D14" s="9" t="s">
        <v>92</v>
      </c>
      <c r="E14" s="9" t="s">
        <v>53</v>
      </c>
      <c r="F14" s="9" t="s">
        <v>53</v>
      </c>
      <c r="G14" s="9" t="s">
        <v>796</v>
      </c>
      <c r="H14" s="5" t="s">
        <v>805</v>
      </c>
      <c r="I14" s="5" t="s">
        <v>806</v>
      </c>
      <c r="J14" s="9"/>
      <c r="K14" s="9" t="s">
        <v>106</v>
      </c>
      <c r="L14" s="9" t="s">
        <v>734</v>
      </c>
      <c r="M14" s="9" t="s">
        <v>65</v>
      </c>
      <c r="N14" s="9" t="s">
        <v>51</v>
      </c>
      <c r="O14" s="9" t="s">
        <v>226</v>
      </c>
      <c r="P14" s="9" t="s">
        <v>226</v>
      </c>
      <c r="Q14" s="9"/>
      <c r="R14" s="10" t="s">
        <v>225</v>
      </c>
      <c r="S14" s="9"/>
      <c r="T14" s="9"/>
      <c r="U14" s="9"/>
      <c r="V14" s="9"/>
      <c r="W14" s="9"/>
      <c r="X14" s="5" t="s">
        <v>807</v>
      </c>
      <c r="Y14" s="9" t="s">
        <v>63</v>
      </c>
      <c r="Z14" s="9"/>
      <c r="AA14" s="9" t="n">
        <v>1</v>
      </c>
      <c r="AB14" s="9" t="s">
        <v>227</v>
      </c>
    </row>
    <row r="15" customFormat="false" ht="23.85" hidden="false" customHeight="false" outlineLevel="0" collapsed="false">
      <c r="A15" s="9" t="s">
        <v>233</v>
      </c>
      <c r="B15" s="5" t="s">
        <v>234</v>
      </c>
      <c r="C15" s="9" t="s">
        <v>235</v>
      </c>
      <c r="D15" s="9" t="s">
        <v>92</v>
      </c>
      <c r="E15" s="9" t="s">
        <v>53</v>
      </c>
      <c r="F15" s="9" t="s">
        <v>53</v>
      </c>
      <c r="G15" s="9" t="s">
        <v>713</v>
      </c>
      <c r="H15" s="5" t="s">
        <v>736</v>
      </c>
      <c r="I15" s="5" t="s">
        <v>737</v>
      </c>
      <c r="J15" s="9"/>
      <c r="K15" s="9" t="s">
        <v>114</v>
      </c>
      <c r="L15" s="9" t="s">
        <v>734</v>
      </c>
      <c r="M15" s="9" t="s">
        <v>65</v>
      </c>
      <c r="N15" s="9" t="s">
        <v>51</v>
      </c>
      <c r="O15" s="9" t="s">
        <v>236</v>
      </c>
      <c r="P15" s="9" t="s">
        <v>134</v>
      </c>
      <c r="Q15" s="9"/>
      <c r="R15" s="9"/>
      <c r="S15" s="9" t="s">
        <v>238</v>
      </c>
      <c r="T15" s="9"/>
      <c r="U15" s="9"/>
      <c r="V15" s="9" t="s">
        <v>237</v>
      </c>
      <c r="W15" s="9"/>
      <c r="X15" s="5" t="s">
        <v>738</v>
      </c>
      <c r="Y15" s="9" t="s">
        <v>63</v>
      </c>
      <c r="Z15" s="9"/>
      <c r="AA15" s="9" t="n">
        <v>3</v>
      </c>
      <c r="AB15" s="5" t="s">
        <v>239</v>
      </c>
    </row>
    <row r="16" customFormat="false" ht="15" hidden="false" customHeight="false" outlineLevel="0" collapsed="false">
      <c r="A16" s="9" t="s">
        <v>323</v>
      </c>
      <c r="B16" s="5" t="s">
        <v>324</v>
      </c>
      <c r="C16" s="9" t="s">
        <v>325</v>
      </c>
      <c r="D16" s="9" t="s">
        <v>92</v>
      </c>
      <c r="E16" s="9" t="s">
        <v>53</v>
      </c>
      <c r="F16" s="9" t="s">
        <v>53</v>
      </c>
      <c r="G16" s="9" t="s">
        <v>796</v>
      </c>
      <c r="H16" s="5" t="s">
        <v>808</v>
      </c>
      <c r="I16" s="5" t="s">
        <v>802</v>
      </c>
      <c r="J16" s="9"/>
      <c r="K16" s="9" t="s">
        <v>327</v>
      </c>
      <c r="L16" s="9" t="s">
        <v>734</v>
      </c>
      <c r="M16" s="9" t="s">
        <v>65</v>
      </c>
      <c r="N16" s="9" t="s">
        <v>51</v>
      </c>
      <c r="O16" s="9" t="s">
        <v>191</v>
      </c>
      <c r="P16" s="9" t="s">
        <v>121</v>
      </c>
      <c r="Q16" s="9"/>
      <c r="R16" s="10" t="s">
        <v>326</v>
      </c>
      <c r="S16" s="9"/>
      <c r="T16" s="9"/>
      <c r="U16" s="9"/>
      <c r="V16" s="9" t="s">
        <v>328</v>
      </c>
      <c r="W16" s="9"/>
      <c r="X16" s="5" t="s">
        <v>809</v>
      </c>
      <c r="Y16" s="9" t="s">
        <v>63</v>
      </c>
      <c r="Z16" s="9"/>
      <c r="AA16" s="9" t="n">
        <v>1</v>
      </c>
      <c r="AB16" s="9" t="s">
        <v>329</v>
      </c>
    </row>
    <row r="17" customFormat="false" ht="23.85" hidden="false" customHeight="false" outlineLevel="0" collapsed="false">
      <c r="A17" s="9" t="s">
        <v>442</v>
      </c>
      <c r="B17" s="5" t="s">
        <v>443</v>
      </c>
      <c r="C17" s="9" t="s">
        <v>444</v>
      </c>
      <c r="D17" s="9" t="s">
        <v>92</v>
      </c>
      <c r="E17" s="9" t="s">
        <v>53</v>
      </c>
      <c r="F17" s="9" t="s">
        <v>53</v>
      </c>
      <c r="G17" s="9" t="s">
        <v>796</v>
      </c>
      <c r="H17" s="5" t="s">
        <v>810</v>
      </c>
      <c r="I17" s="5" t="s">
        <v>802</v>
      </c>
      <c r="J17" s="9"/>
      <c r="K17" s="9" t="s">
        <v>106</v>
      </c>
      <c r="L17" s="9" t="s">
        <v>803</v>
      </c>
      <c r="M17" s="9" t="s">
        <v>65</v>
      </c>
      <c r="N17" s="9" t="s">
        <v>51</v>
      </c>
      <c r="O17" s="9" t="s">
        <v>177</v>
      </c>
      <c r="P17" s="9" t="s">
        <v>150</v>
      </c>
      <c r="Q17" s="9"/>
      <c r="R17" s="10" t="s">
        <v>445</v>
      </c>
      <c r="S17" s="9"/>
      <c r="T17" s="9"/>
      <c r="U17" s="9"/>
      <c r="V17" s="9"/>
      <c r="W17" s="9"/>
      <c r="X17" s="5" t="s">
        <v>811</v>
      </c>
      <c r="Y17" s="9" t="s">
        <v>63</v>
      </c>
      <c r="Z17" s="9"/>
      <c r="AA17" s="9" t="n">
        <v>1</v>
      </c>
      <c r="AB17" s="9" t="s">
        <v>446</v>
      </c>
    </row>
    <row r="18" customFormat="false" ht="35.05" hidden="false" customHeight="false" outlineLevel="0" collapsed="false">
      <c r="A18" s="9" t="s">
        <v>572</v>
      </c>
      <c r="B18" s="5" t="s">
        <v>573</v>
      </c>
      <c r="C18" s="9" t="s">
        <v>574</v>
      </c>
      <c r="D18" s="9" t="s">
        <v>92</v>
      </c>
      <c r="E18" s="9" t="s">
        <v>53</v>
      </c>
      <c r="F18" s="9" t="s">
        <v>53</v>
      </c>
      <c r="G18" s="9" t="s">
        <v>713</v>
      </c>
      <c r="H18" s="5" t="s">
        <v>736</v>
      </c>
      <c r="I18" s="5" t="s">
        <v>739</v>
      </c>
      <c r="J18" s="9"/>
      <c r="K18" s="9" t="s">
        <v>114</v>
      </c>
      <c r="L18" s="9" t="s">
        <v>734</v>
      </c>
      <c r="M18" s="9" t="s">
        <v>65</v>
      </c>
      <c r="N18" s="9" t="s">
        <v>51</v>
      </c>
      <c r="O18" s="9" t="s">
        <v>575</v>
      </c>
      <c r="P18" s="9" t="s">
        <v>134</v>
      </c>
      <c r="Q18" s="9"/>
      <c r="R18" s="9"/>
      <c r="S18" s="9" t="s">
        <v>238</v>
      </c>
      <c r="T18" s="9"/>
      <c r="U18" s="9"/>
      <c r="V18" s="9"/>
      <c r="W18" s="9"/>
      <c r="X18" s="5" t="s">
        <v>740</v>
      </c>
      <c r="Y18" s="9" t="s">
        <v>63</v>
      </c>
      <c r="Z18" s="9"/>
      <c r="AA18" s="9" t="n">
        <v>3</v>
      </c>
      <c r="AB18" s="5" t="s">
        <v>576</v>
      </c>
    </row>
    <row r="19" customFormat="false" ht="35.05" hidden="false" customHeight="false" outlineLevel="0" collapsed="false">
      <c r="A19" s="9" t="s">
        <v>633</v>
      </c>
      <c r="B19" s="5" t="s">
        <v>634</v>
      </c>
      <c r="C19" s="9" t="s">
        <v>635</v>
      </c>
      <c r="D19" s="9" t="s">
        <v>92</v>
      </c>
      <c r="E19" s="9" t="s">
        <v>53</v>
      </c>
      <c r="F19" s="9" t="s">
        <v>53</v>
      </c>
      <c r="G19" s="9" t="s">
        <v>713</v>
      </c>
      <c r="H19" s="5" t="s">
        <v>741</v>
      </c>
      <c r="I19" s="5" t="s">
        <v>742</v>
      </c>
      <c r="J19" s="9"/>
      <c r="K19" s="9" t="s">
        <v>114</v>
      </c>
      <c r="L19" s="9" t="s">
        <v>725</v>
      </c>
      <c r="M19" s="9" t="s">
        <v>65</v>
      </c>
      <c r="N19" s="9" t="s">
        <v>51</v>
      </c>
      <c r="O19" s="9" t="s">
        <v>548</v>
      </c>
      <c r="P19" s="9" t="s">
        <v>548</v>
      </c>
      <c r="Q19" s="9"/>
      <c r="R19" s="10" t="s">
        <v>636</v>
      </c>
      <c r="S19" s="9" t="s">
        <v>637</v>
      </c>
      <c r="T19" s="9"/>
      <c r="U19" s="9"/>
      <c r="V19" s="9"/>
      <c r="W19" s="9"/>
      <c r="X19" s="5" t="s">
        <v>743</v>
      </c>
      <c r="Y19" s="9" t="s">
        <v>63</v>
      </c>
      <c r="Z19" s="9"/>
      <c r="AA19" s="9" t="n">
        <v>3</v>
      </c>
      <c r="AB19" s="5" t="s">
        <v>638</v>
      </c>
    </row>
    <row r="20" customFormat="false" ht="57.45" hidden="false" customHeight="false" outlineLevel="0" collapsed="false">
      <c r="A20" s="9" t="s">
        <v>684</v>
      </c>
      <c r="B20" s="5" t="s">
        <v>685</v>
      </c>
      <c r="C20" s="9" t="s">
        <v>686</v>
      </c>
      <c r="D20" s="9" t="s">
        <v>92</v>
      </c>
      <c r="E20" s="9" t="s">
        <v>53</v>
      </c>
      <c r="F20" s="9" t="s">
        <v>53</v>
      </c>
      <c r="G20" s="9" t="s">
        <v>713</v>
      </c>
      <c r="H20" s="5" t="s">
        <v>744</v>
      </c>
      <c r="I20" s="5" t="s">
        <v>745</v>
      </c>
      <c r="J20" s="9" t="s">
        <v>746</v>
      </c>
      <c r="K20" s="9" t="s">
        <v>114</v>
      </c>
      <c r="L20" s="9" t="s">
        <v>725</v>
      </c>
      <c r="M20" s="9" t="s">
        <v>65</v>
      </c>
      <c r="N20" s="9" t="s">
        <v>51</v>
      </c>
      <c r="O20" s="9" t="s">
        <v>687</v>
      </c>
      <c r="P20" s="9" t="s">
        <v>134</v>
      </c>
      <c r="Q20" s="9"/>
      <c r="R20" s="9"/>
      <c r="S20" s="9" t="s">
        <v>689</v>
      </c>
      <c r="T20" s="9"/>
      <c r="U20" s="9"/>
      <c r="V20" s="9" t="s">
        <v>688</v>
      </c>
      <c r="W20" s="9"/>
      <c r="X20" s="5" t="s">
        <v>747</v>
      </c>
      <c r="Y20" s="9" t="s">
        <v>63</v>
      </c>
      <c r="Z20" s="9"/>
      <c r="AA20" s="9" t="n">
        <v>7</v>
      </c>
      <c r="AB20" s="5" t="s">
        <v>690</v>
      </c>
    </row>
    <row r="21" customFormat="false" ht="46.25" hidden="false" customHeight="false" outlineLevel="0" collapsed="false">
      <c r="A21" s="9" t="s">
        <v>695</v>
      </c>
      <c r="B21" s="5" t="s">
        <v>696</v>
      </c>
      <c r="C21" s="9" t="s">
        <v>697</v>
      </c>
      <c r="D21" s="9" t="s">
        <v>92</v>
      </c>
      <c r="E21" s="9" t="s">
        <v>53</v>
      </c>
      <c r="F21" s="9" t="s">
        <v>53</v>
      </c>
      <c r="G21" s="9" t="s">
        <v>713</v>
      </c>
      <c r="H21" s="5" t="s">
        <v>748</v>
      </c>
      <c r="I21" s="5" t="s">
        <v>749</v>
      </c>
      <c r="J21" s="9"/>
      <c r="K21" s="9" t="s">
        <v>114</v>
      </c>
      <c r="L21" s="9" t="s">
        <v>734</v>
      </c>
      <c r="M21" s="9" t="s">
        <v>65</v>
      </c>
      <c r="N21" s="9" t="s">
        <v>51</v>
      </c>
      <c r="O21" s="9" t="s">
        <v>698</v>
      </c>
      <c r="P21" s="9" t="s">
        <v>134</v>
      </c>
      <c r="Q21" s="9"/>
      <c r="R21" s="9"/>
      <c r="S21" s="9" t="s">
        <v>700</v>
      </c>
      <c r="T21" s="9"/>
      <c r="U21" s="9"/>
      <c r="V21" s="9" t="s">
        <v>699</v>
      </c>
      <c r="W21" s="9"/>
      <c r="X21" s="5" t="s">
        <v>750</v>
      </c>
      <c r="Y21" s="9" t="s">
        <v>63</v>
      </c>
      <c r="Z21" s="9"/>
      <c r="AA21" s="9" t="n">
        <v>4</v>
      </c>
      <c r="AB21" s="5" t="s">
        <v>701</v>
      </c>
    </row>
    <row r="22" customFormat="false" ht="23.85" hidden="false" customHeight="false" outlineLevel="0" collapsed="false">
      <c r="A22" s="9" t="s">
        <v>103</v>
      </c>
      <c r="B22" s="5" t="s">
        <v>104</v>
      </c>
      <c r="C22" s="9"/>
      <c r="D22" s="9" t="s">
        <v>92</v>
      </c>
      <c r="E22" s="9" t="s">
        <v>53</v>
      </c>
      <c r="F22" s="9" t="s">
        <v>53</v>
      </c>
      <c r="G22" s="9" t="s">
        <v>796</v>
      </c>
      <c r="H22" s="5" t="s">
        <v>812</v>
      </c>
      <c r="I22" s="5" t="s">
        <v>813</v>
      </c>
      <c r="J22" s="9"/>
      <c r="K22" s="9" t="s">
        <v>106</v>
      </c>
      <c r="L22" s="9" t="s">
        <v>734</v>
      </c>
      <c r="M22" s="9" t="s">
        <v>65</v>
      </c>
      <c r="N22" s="9" t="s">
        <v>51</v>
      </c>
      <c r="O22" s="9" t="s">
        <v>105</v>
      </c>
      <c r="P22" s="9" t="s">
        <v>105</v>
      </c>
      <c r="Q22" s="9"/>
      <c r="R22" s="9"/>
      <c r="S22" s="9" t="s">
        <v>107</v>
      </c>
      <c r="T22" s="9"/>
      <c r="U22" s="9"/>
      <c r="V22" s="9"/>
      <c r="W22" s="9"/>
      <c r="X22" s="5" t="s">
        <v>814</v>
      </c>
      <c r="Y22" s="9" t="s">
        <v>64</v>
      </c>
      <c r="Z22" s="9"/>
      <c r="AA22" s="9" t="n">
        <v>1</v>
      </c>
      <c r="AB22" s="9" t="s">
        <v>108</v>
      </c>
    </row>
    <row r="23" customFormat="false" ht="23.85" hidden="false" customHeight="false" outlineLevel="0" collapsed="false">
      <c r="A23" s="9" t="s">
        <v>131</v>
      </c>
      <c r="B23" s="5" t="s">
        <v>132</v>
      </c>
      <c r="C23" s="9" t="s">
        <v>133</v>
      </c>
      <c r="D23" s="9" t="s">
        <v>92</v>
      </c>
      <c r="E23" s="9" t="s">
        <v>53</v>
      </c>
      <c r="F23" s="9" t="s">
        <v>53</v>
      </c>
      <c r="G23" s="9" t="s">
        <v>796</v>
      </c>
      <c r="H23" s="5" t="s">
        <v>812</v>
      </c>
      <c r="I23" s="5" t="s">
        <v>815</v>
      </c>
      <c r="J23" s="9"/>
      <c r="K23" s="9" t="s">
        <v>135</v>
      </c>
      <c r="L23" s="9" t="s">
        <v>734</v>
      </c>
      <c r="M23" s="9" t="s">
        <v>65</v>
      </c>
      <c r="N23" s="9" t="s">
        <v>51</v>
      </c>
      <c r="O23" s="9" t="s">
        <v>134</v>
      </c>
      <c r="P23" s="9" t="s">
        <v>134</v>
      </c>
      <c r="Q23" s="9"/>
      <c r="R23" s="9"/>
      <c r="S23" s="9" t="s">
        <v>136</v>
      </c>
      <c r="T23" s="9"/>
      <c r="U23" s="9"/>
      <c r="V23" s="9"/>
      <c r="W23" s="9"/>
      <c r="X23" s="5" t="s">
        <v>816</v>
      </c>
      <c r="Y23" s="9" t="s">
        <v>64</v>
      </c>
      <c r="Z23" s="9"/>
      <c r="AA23" s="9" t="n">
        <v>1</v>
      </c>
      <c r="AB23" s="9" t="s">
        <v>108</v>
      </c>
    </row>
    <row r="24" customFormat="false" ht="35.05" hidden="false" customHeight="false" outlineLevel="0" collapsed="false">
      <c r="A24" s="9" t="s">
        <v>203</v>
      </c>
      <c r="B24" s="5" t="s">
        <v>204</v>
      </c>
      <c r="C24" s="9" t="s">
        <v>204</v>
      </c>
      <c r="D24" s="9" t="s">
        <v>92</v>
      </c>
      <c r="E24" s="9" t="s">
        <v>53</v>
      </c>
      <c r="F24" s="9" t="s">
        <v>53</v>
      </c>
      <c r="G24" s="9" t="s">
        <v>796</v>
      </c>
      <c r="H24" s="5" t="s">
        <v>817</v>
      </c>
      <c r="I24" s="5" t="s">
        <v>818</v>
      </c>
      <c r="J24" s="9"/>
      <c r="K24" s="9" t="s">
        <v>106</v>
      </c>
      <c r="L24" s="9" t="s">
        <v>734</v>
      </c>
      <c r="M24" s="9" t="s">
        <v>65</v>
      </c>
      <c r="N24" s="9" t="s">
        <v>51</v>
      </c>
      <c r="O24" s="9" t="s">
        <v>205</v>
      </c>
      <c r="P24" s="9" t="s">
        <v>205</v>
      </c>
      <c r="Q24" s="9"/>
      <c r="R24" s="9"/>
      <c r="S24" s="9" t="s">
        <v>206</v>
      </c>
      <c r="T24" s="9"/>
      <c r="U24" s="9"/>
      <c r="V24" s="9"/>
      <c r="W24" s="9"/>
      <c r="X24" s="5" t="s">
        <v>819</v>
      </c>
      <c r="Y24" s="9" t="s">
        <v>64</v>
      </c>
      <c r="Z24" s="9"/>
      <c r="AA24" s="9" t="n">
        <v>2</v>
      </c>
      <c r="AB24" s="5" t="s">
        <v>207</v>
      </c>
    </row>
    <row r="25" customFormat="false" ht="23.85" hidden="false" customHeight="false" outlineLevel="0" collapsed="false">
      <c r="A25" s="9" t="s">
        <v>344</v>
      </c>
      <c r="B25" s="5" t="s">
        <v>345</v>
      </c>
      <c r="C25" s="9" t="s">
        <v>346</v>
      </c>
      <c r="D25" s="9" t="s">
        <v>92</v>
      </c>
      <c r="E25" s="9" t="s">
        <v>53</v>
      </c>
      <c r="F25" s="9" t="s">
        <v>53</v>
      </c>
      <c r="G25" s="9" t="s">
        <v>796</v>
      </c>
      <c r="H25" s="5" t="s">
        <v>820</v>
      </c>
      <c r="I25" s="5" t="s">
        <v>821</v>
      </c>
      <c r="J25" s="9"/>
      <c r="K25" s="9" t="s">
        <v>348</v>
      </c>
      <c r="L25" s="9" t="s">
        <v>734</v>
      </c>
      <c r="M25" s="9" t="s">
        <v>65</v>
      </c>
      <c r="N25" s="9" t="s">
        <v>51</v>
      </c>
      <c r="O25" s="9" t="s">
        <v>347</v>
      </c>
      <c r="P25" s="9" t="s">
        <v>347</v>
      </c>
      <c r="Q25" s="9"/>
      <c r="R25" s="9"/>
      <c r="S25" s="9" t="s">
        <v>349</v>
      </c>
      <c r="T25" s="9"/>
      <c r="U25" s="9"/>
      <c r="V25" s="9"/>
      <c r="W25" s="9"/>
      <c r="X25" s="5" t="s">
        <v>822</v>
      </c>
      <c r="Y25" s="9" t="s">
        <v>64</v>
      </c>
      <c r="Z25" s="9"/>
      <c r="AA25" s="9" t="n">
        <v>1</v>
      </c>
      <c r="AB25" s="9" t="s">
        <v>350</v>
      </c>
    </row>
    <row r="26" customFormat="false" ht="35.05" hidden="false" customHeight="false" outlineLevel="0" collapsed="false">
      <c r="A26" s="9" t="s">
        <v>391</v>
      </c>
      <c r="B26" s="5" t="s">
        <v>392</v>
      </c>
      <c r="C26" s="9" t="s">
        <v>393</v>
      </c>
      <c r="D26" s="9" t="s">
        <v>92</v>
      </c>
      <c r="E26" s="9" t="s">
        <v>53</v>
      </c>
      <c r="F26" s="9" t="s">
        <v>53</v>
      </c>
      <c r="G26" s="9" t="s">
        <v>796</v>
      </c>
      <c r="H26" s="5" t="s">
        <v>823</v>
      </c>
      <c r="I26" s="5" t="s">
        <v>824</v>
      </c>
      <c r="J26" s="9"/>
      <c r="K26" s="9" t="s">
        <v>396</v>
      </c>
      <c r="L26" s="9" t="s">
        <v>825</v>
      </c>
      <c r="M26" s="9" t="s">
        <v>65</v>
      </c>
      <c r="N26" s="9" t="s">
        <v>51</v>
      </c>
      <c r="O26" s="9" t="s">
        <v>395</v>
      </c>
      <c r="P26" s="9" t="s">
        <v>121</v>
      </c>
      <c r="Q26" s="9"/>
      <c r="R26" s="10" t="s">
        <v>394</v>
      </c>
      <c r="S26" s="9"/>
      <c r="T26" s="9"/>
      <c r="U26" s="9"/>
      <c r="V26" s="9"/>
      <c r="W26" s="9"/>
      <c r="X26" s="5" t="s">
        <v>826</v>
      </c>
      <c r="Y26" s="9" t="s">
        <v>64</v>
      </c>
      <c r="Z26" s="9"/>
      <c r="AA26" s="9" t="n">
        <v>2</v>
      </c>
      <c r="AB26" s="5" t="s">
        <v>397</v>
      </c>
    </row>
    <row r="27" customFormat="false" ht="23.85" hidden="false" customHeight="false" outlineLevel="0" collapsed="false">
      <c r="A27" s="9" t="s">
        <v>496</v>
      </c>
      <c r="B27" s="5" t="s">
        <v>497</v>
      </c>
      <c r="C27" s="9" t="s">
        <v>498</v>
      </c>
      <c r="D27" s="9" t="s">
        <v>92</v>
      </c>
      <c r="E27" s="9" t="s">
        <v>53</v>
      </c>
      <c r="F27" s="9" t="s">
        <v>53</v>
      </c>
      <c r="G27" s="9" t="s">
        <v>796</v>
      </c>
      <c r="H27" s="5" t="s">
        <v>827</v>
      </c>
      <c r="I27" s="5" t="s">
        <v>828</v>
      </c>
      <c r="J27" s="9"/>
      <c r="K27" s="9" t="s">
        <v>106</v>
      </c>
      <c r="L27" s="9" t="s">
        <v>734</v>
      </c>
      <c r="M27" s="9" t="s">
        <v>65</v>
      </c>
      <c r="N27" s="9" t="s">
        <v>51</v>
      </c>
      <c r="O27" s="9" t="s">
        <v>500</v>
      </c>
      <c r="P27" s="9" t="s">
        <v>500</v>
      </c>
      <c r="Q27" s="9"/>
      <c r="R27" s="10" t="s">
        <v>499</v>
      </c>
      <c r="S27" s="9"/>
      <c r="T27" s="9"/>
      <c r="U27" s="9"/>
      <c r="V27" s="9"/>
      <c r="W27" s="9"/>
      <c r="X27" s="5" t="s">
        <v>829</v>
      </c>
      <c r="Y27" s="9" t="s">
        <v>64</v>
      </c>
      <c r="Z27" s="9"/>
      <c r="AA27" s="9" t="n">
        <v>1</v>
      </c>
      <c r="AB27" s="9" t="s">
        <v>501</v>
      </c>
    </row>
    <row r="28" customFormat="false" ht="35.05" hidden="false" customHeight="false" outlineLevel="0" collapsed="false">
      <c r="A28" s="9" t="s">
        <v>650</v>
      </c>
      <c r="B28" s="5" t="s">
        <v>651</v>
      </c>
      <c r="C28" s="9" t="s">
        <v>652</v>
      </c>
      <c r="D28" s="9" t="s">
        <v>92</v>
      </c>
      <c r="E28" s="9" t="s">
        <v>53</v>
      </c>
      <c r="F28" s="9" t="s">
        <v>53</v>
      </c>
      <c r="G28" s="9" t="s">
        <v>796</v>
      </c>
      <c r="H28" s="5" t="s">
        <v>830</v>
      </c>
      <c r="I28" s="5" t="s">
        <v>831</v>
      </c>
      <c r="J28" s="9"/>
      <c r="K28" s="9" t="s">
        <v>580</v>
      </c>
      <c r="L28" s="9" t="s">
        <v>832</v>
      </c>
      <c r="M28" s="9" t="s">
        <v>65</v>
      </c>
      <c r="N28" s="9" t="s">
        <v>51</v>
      </c>
      <c r="O28" s="9" t="s">
        <v>134</v>
      </c>
      <c r="P28" s="9" t="s">
        <v>134</v>
      </c>
      <c r="Q28" s="9"/>
      <c r="R28" s="10" t="s">
        <v>653</v>
      </c>
      <c r="S28" s="9"/>
      <c r="T28" s="9"/>
      <c r="U28" s="9"/>
      <c r="V28" s="9"/>
      <c r="W28" s="9"/>
      <c r="X28" s="5" t="s">
        <v>833</v>
      </c>
      <c r="Y28" s="9" t="s">
        <v>64</v>
      </c>
      <c r="Z28" s="9"/>
      <c r="AA28" s="9" t="n">
        <v>1</v>
      </c>
      <c r="AB28" s="9" t="s">
        <v>654</v>
      </c>
    </row>
    <row r="29" customFormat="false" ht="23.85" hidden="false" customHeight="false" outlineLevel="0" collapsed="false">
      <c r="A29" s="9" t="s">
        <v>691</v>
      </c>
      <c r="B29" s="5" t="s">
        <v>692</v>
      </c>
      <c r="C29" s="9" t="s">
        <v>692</v>
      </c>
      <c r="D29" s="9" t="s">
        <v>92</v>
      </c>
      <c r="E29" s="9" t="s">
        <v>53</v>
      </c>
      <c r="F29" s="9" t="s">
        <v>53</v>
      </c>
      <c r="G29" s="9" t="s">
        <v>796</v>
      </c>
      <c r="H29" s="5" t="s">
        <v>834</v>
      </c>
      <c r="I29" s="5" t="s">
        <v>835</v>
      </c>
      <c r="J29" s="9"/>
      <c r="K29" s="9" t="s">
        <v>106</v>
      </c>
      <c r="L29" s="9" t="s">
        <v>725</v>
      </c>
      <c r="M29" s="9" t="s">
        <v>65</v>
      </c>
      <c r="N29" s="9" t="s">
        <v>51</v>
      </c>
      <c r="O29" s="9" t="s">
        <v>121</v>
      </c>
      <c r="P29" s="9" t="s">
        <v>121</v>
      </c>
      <c r="Q29" s="9"/>
      <c r="R29" s="10" t="s">
        <v>693</v>
      </c>
      <c r="S29" s="9"/>
      <c r="T29" s="9"/>
      <c r="U29" s="9"/>
      <c r="V29" s="9"/>
      <c r="W29" s="9"/>
      <c r="X29" s="5" t="s">
        <v>836</v>
      </c>
      <c r="Y29" s="9" t="s">
        <v>64</v>
      </c>
      <c r="Z29" s="9"/>
      <c r="AA29" s="9" t="n">
        <v>1</v>
      </c>
      <c r="AB29" s="9" t="s">
        <v>694</v>
      </c>
    </row>
    <row r="30" customFormat="false" ht="35.05" hidden="false" customHeight="false" outlineLevel="0" collapsed="false">
      <c r="A30" s="9" t="s">
        <v>518</v>
      </c>
      <c r="B30" s="5" t="s">
        <v>519</v>
      </c>
      <c r="C30" s="9" t="s">
        <v>857</v>
      </c>
      <c r="D30" s="9" t="s">
        <v>92</v>
      </c>
      <c r="E30" s="9" t="s">
        <v>53</v>
      </c>
      <c r="F30" s="9" t="s">
        <v>53</v>
      </c>
      <c r="G30" s="9" t="s">
        <v>858</v>
      </c>
      <c r="H30" s="5" t="s">
        <v>859</v>
      </c>
      <c r="I30" s="5" t="s">
        <v>860</v>
      </c>
      <c r="J30" s="9" t="s">
        <v>861</v>
      </c>
      <c r="K30" s="9" t="s">
        <v>664</v>
      </c>
      <c r="L30" s="9" t="s">
        <v>862</v>
      </c>
      <c r="M30" s="9" t="s">
        <v>66</v>
      </c>
      <c r="N30" s="9" t="s">
        <v>48</v>
      </c>
      <c r="O30" s="9" t="s">
        <v>863</v>
      </c>
      <c r="P30" s="9" t="s">
        <v>93</v>
      </c>
      <c r="Q30" s="9" t="s">
        <v>864</v>
      </c>
      <c r="R30" s="10" t="s">
        <v>521</v>
      </c>
      <c r="S30" s="9"/>
      <c r="T30" s="9" t="s">
        <v>865</v>
      </c>
      <c r="U30" s="9" t="s">
        <v>526</v>
      </c>
      <c r="V30" s="9" t="s">
        <v>866</v>
      </c>
      <c r="W30" s="9"/>
      <c r="X30" s="5" t="s">
        <v>867</v>
      </c>
      <c r="Y30" s="9" t="s">
        <v>63</v>
      </c>
      <c r="Z30" s="9" t="s">
        <v>54</v>
      </c>
      <c r="AA30" s="9" t="n">
        <v>5</v>
      </c>
      <c r="AB30" s="5" t="s">
        <v>868</v>
      </c>
    </row>
    <row r="31" customFormat="false" ht="15" hidden="false" customHeight="false" outlineLevel="0" collapsed="false">
      <c r="A31" s="9" t="s">
        <v>655</v>
      </c>
      <c r="B31" s="5" t="s">
        <v>656</v>
      </c>
      <c r="C31" s="9" t="s">
        <v>657</v>
      </c>
      <c r="D31" s="9" t="s">
        <v>92</v>
      </c>
      <c r="E31" s="9" t="s">
        <v>53</v>
      </c>
      <c r="F31" s="9" t="s">
        <v>53</v>
      </c>
      <c r="G31" s="9" t="s">
        <v>796</v>
      </c>
      <c r="H31" s="5" t="s">
        <v>837</v>
      </c>
      <c r="I31" s="5" t="s">
        <v>838</v>
      </c>
      <c r="J31" s="9"/>
      <c r="K31" s="9" t="s">
        <v>106</v>
      </c>
      <c r="L31" s="9" t="s">
        <v>839</v>
      </c>
      <c r="M31" s="9" t="s">
        <v>66</v>
      </c>
      <c r="N31" s="9" t="s">
        <v>51</v>
      </c>
      <c r="O31" s="9" t="s">
        <v>121</v>
      </c>
      <c r="P31" s="9" t="s">
        <v>121</v>
      </c>
      <c r="Q31" s="9"/>
      <c r="R31" s="10" t="s">
        <v>658</v>
      </c>
      <c r="S31" s="9"/>
      <c r="T31" s="9"/>
      <c r="U31" s="9"/>
      <c r="V31" s="9"/>
      <c r="W31" s="9"/>
      <c r="X31" s="5" t="s">
        <v>840</v>
      </c>
      <c r="Y31" s="9" t="s">
        <v>63</v>
      </c>
      <c r="Z31" s="9"/>
      <c r="AA31" s="9" t="n">
        <v>2</v>
      </c>
      <c r="AB31" s="5" t="s">
        <v>659</v>
      </c>
    </row>
    <row r="32" customFormat="false" ht="15" hidden="false" customHeight="false" outlineLevel="0" collapsed="false">
      <c r="A32" s="9" t="s">
        <v>416</v>
      </c>
      <c r="B32" s="5" t="s">
        <v>417</v>
      </c>
      <c r="C32" s="9" t="s">
        <v>418</v>
      </c>
      <c r="D32" s="9" t="s">
        <v>92</v>
      </c>
      <c r="E32" s="9" t="s">
        <v>53</v>
      </c>
      <c r="F32" s="9" t="s">
        <v>53</v>
      </c>
      <c r="G32" s="9" t="s">
        <v>796</v>
      </c>
      <c r="H32" s="5" t="s">
        <v>793</v>
      </c>
      <c r="I32" s="5" t="s">
        <v>841</v>
      </c>
      <c r="J32" s="9"/>
      <c r="K32" s="9" t="s">
        <v>106</v>
      </c>
      <c r="L32" s="9" t="s">
        <v>842</v>
      </c>
      <c r="M32" s="9" t="s">
        <v>66</v>
      </c>
      <c r="N32" s="9" t="s">
        <v>51</v>
      </c>
      <c r="O32" s="9" t="s">
        <v>420</v>
      </c>
      <c r="P32" s="9" t="s">
        <v>420</v>
      </c>
      <c r="Q32" s="9"/>
      <c r="R32" s="10" t="s">
        <v>419</v>
      </c>
      <c r="S32" s="9"/>
      <c r="T32" s="9"/>
      <c r="U32" s="9"/>
      <c r="V32" s="9"/>
      <c r="W32" s="9"/>
      <c r="X32" s="5" t="s">
        <v>843</v>
      </c>
      <c r="Y32" s="9" t="s">
        <v>64</v>
      </c>
      <c r="Z32" s="9"/>
      <c r="AA32" s="9" t="n">
        <v>1</v>
      </c>
      <c r="AB32" s="9" t="s">
        <v>421</v>
      </c>
    </row>
    <row r="33" customFormat="false" ht="23.85" hidden="false" customHeight="false" outlineLevel="0" collapsed="false">
      <c r="A33" s="9" t="s">
        <v>490</v>
      </c>
      <c r="B33" s="5" t="s">
        <v>491</v>
      </c>
      <c r="C33" s="9" t="s">
        <v>492</v>
      </c>
      <c r="D33" s="9" t="s">
        <v>92</v>
      </c>
      <c r="E33" s="9" t="s">
        <v>53</v>
      </c>
      <c r="F33" s="9" t="s">
        <v>53</v>
      </c>
      <c r="G33" s="9" t="s">
        <v>796</v>
      </c>
      <c r="H33" s="5" t="s">
        <v>844</v>
      </c>
      <c r="I33" s="5" t="s">
        <v>845</v>
      </c>
      <c r="J33" s="9"/>
      <c r="K33" s="9" t="s">
        <v>494</v>
      </c>
      <c r="L33" s="9" t="s">
        <v>846</v>
      </c>
      <c r="M33" s="9" t="s">
        <v>66</v>
      </c>
      <c r="N33" s="9" t="s">
        <v>51</v>
      </c>
      <c r="O33" s="9" t="s">
        <v>493</v>
      </c>
      <c r="P33" s="9" t="s">
        <v>493</v>
      </c>
      <c r="Q33" s="9"/>
      <c r="R33" s="9"/>
      <c r="S33" s="9"/>
      <c r="T33" s="9"/>
      <c r="U33" s="9"/>
      <c r="V33" s="9"/>
      <c r="W33" s="9"/>
      <c r="X33" s="5" t="s">
        <v>847</v>
      </c>
      <c r="Y33" s="9" t="s">
        <v>64</v>
      </c>
      <c r="Z33" s="9"/>
      <c r="AA33" s="9" t="n">
        <v>1</v>
      </c>
      <c r="AB33" s="9" t="s">
        <v>495</v>
      </c>
    </row>
    <row r="34" customFormat="false" ht="15" hidden="false" customHeight="false" outlineLevel="0" collapsed="false">
      <c r="A34" s="9" t="s">
        <v>577</v>
      </c>
      <c r="B34" s="5" t="s">
        <v>578</v>
      </c>
      <c r="C34" s="9" t="s">
        <v>578</v>
      </c>
      <c r="D34" s="9" t="s">
        <v>92</v>
      </c>
      <c r="E34" s="9" t="s">
        <v>53</v>
      </c>
      <c r="F34" s="9" t="s">
        <v>53</v>
      </c>
      <c r="G34" s="9" t="s">
        <v>796</v>
      </c>
      <c r="H34" s="5" t="s">
        <v>848</v>
      </c>
      <c r="I34" s="5" t="s">
        <v>849</v>
      </c>
      <c r="J34" s="9"/>
      <c r="K34" s="9" t="s">
        <v>580</v>
      </c>
      <c r="L34" s="9" t="s">
        <v>850</v>
      </c>
      <c r="M34" s="9" t="s">
        <v>66</v>
      </c>
      <c r="N34" s="9" t="s">
        <v>51</v>
      </c>
      <c r="O34" s="9" t="s">
        <v>579</v>
      </c>
      <c r="P34" s="9" t="s">
        <v>134</v>
      </c>
      <c r="Q34" s="9"/>
      <c r="R34" s="9"/>
      <c r="S34" s="9"/>
      <c r="T34" s="9"/>
      <c r="U34" s="9"/>
      <c r="V34" s="9"/>
      <c r="W34" s="9"/>
      <c r="X34" s="5" t="s">
        <v>851</v>
      </c>
      <c r="Y34" s="9" t="s">
        <v>64</v>
      </c>
      <c r="Z34" s="9"/>
      <c r="AA34" s="9" t="n">
        <v>1</v>
      </c>
      <c r="AB34" s="9" t="s">
        <v>581</v>
      </c>
    </row>
    <row r="35" customFormat="false" ht="57.45" hidden="false" customHeight="false" outlineLevel="0" collapsed="false">
      <c r="A35" s="9" t="s">
        <v>639</v>
      </c>
      <c r="B35" s="5" t="s">
        <v>640</v>
      </c>
      <c r="C35" s="9" t="s">
        <v>869</v>
      </c>
      <c r="D35" s="9" t="s">
        <v>156</v>
      </c>
      <c r="E35" s="9" t="s">
        <v>53</v>
      </c>
      <c r="F35" s="9" t="s">
        <v>53</v>
      </c>
      <c r="G35" s="9" t="s">
        <v>858</v>
      </c>
      <c r="H35" s="5" t="s">
        <v>870</v>
      </c>
      <c r="I35" s="5" t="s">
        <v>871</v>
      </c>
      <c r="J35" s="9"/>
      <c r="K35" s="9" t="s">
        <v>664</v>
      </c>
      <c r="L35" s="9"/>
      <c r="M35" s="9" t="s">
        <v>67</v>
      </c>
      <c r="N35" s="9" t="s">
        <v>45</v>
      </c>
      <c r="O35" s="9" t="s">
        <v>872</v>
      </c>
      <c r="P35" s="9" t="s">
        <v>93</v>
      </c>
      <c r="Q35" s="9" t="s">
        <v>873</v>
      </c>
      <c r="R35" s="10" t="s">
        <v>642</v>
      </c>
      <c r="S35" s="9"/>
      <c r="T35" s="9"/>
      <c r="U35" s="9"/>
      <c r="V35" s="9" t="s">
        <v>874</v>
      </c>
      <c r="W35" s="9" t="s">
        <v>875</v>
      </c>
      <c r="X35" s="5" t="s">
        <v>876</v>
      </c>
      <c r="Y35" s="9" t="s">
        <v>64</v>
      </c>
      <c r="Z35" s="9" t="s">
        <v>54</v>
      </c>
      <c r="AA35" s="9" t="n">
        <v>4</v>
      </c>
      <c r="AB35" s="5" t="s">
        <v>877</v>
      </c>
    </row>
    <row r="36" customFormat="false" ht="35.05" hidden="false" customHeight="false" outlineLevel="0" collapsed="false">
      <c r="A36" s="9" t="s">
        <v>259</v>
      </c>
      <c r="B36" s="5" t="s">
        <v>260</v>
      </c>
      <c r="C36" s="9" t="s">
        <v>260</v>
      </c>
      <c r="D36" s="9" t="s">
        <v>92</v>
      </c>
      <c r="E36" s="9" t="s">
        <v>53</v>
      </c>
      <c r="F36" s="9" t="s">
        <v>53</v>
      </c>
      <c r="G36" s="9" t="s">
        <v>796</v>
      </c>
      <c r="H36" s="5" t="s">
        <v>852</v>
      </c>
      <c r="I36" s="5" t="s">
        <v>853</v>
      </c>
      <c r="J36" s="9"/>
      <c r="K36" s="9" t="s">
        <v>262</v>
      </c>
      <c r="L36" s="9"/>
      <c r="M36" s="9" t="s">
        <v>67</v>
      </c>
      <c r="N36" s="9" t="s">
        <v>50</v>
      </c>
      <c r="O36" s="9" t="s">
        <v>93</v>
      </c>
      <c r="P36" s="9" t="s">
        <v>93</v>
      </c>
      <c r="Q36" s="9"/>
      <c r="R36" s="10" t="s">
        <v>261</v>
      </c>
      <c r="S36" s="9"/>
      <c r="T36" s="9"/>
      <c r="U36" s="9"/>
      <c r="V36" s="9" t="s">
        <v>151</v>
      </c>
      <c r="W36" s="9"/>
      <c r="X36" s="5" t="s">
        <v>854</v>
      </c>
      <c r="Y36" s="9" t="s">
        <v>64</v>
      </c>
      <c r="Z36" s="9"/>
      <c r="AA36" s="9" t="n">
        <v>1</v>
      </c>
      <c r="AB36" s="9" t="s">
        <v>263</v>
      </c>
    </row>
    <row r="37" customFormat="false" ht="35.05" hidden="false" customHeight="false" outlineLevel="0" collapsed="false">
      <c r="A37" s="9" t="s">
        <v>457</v>
      </c>
      <c r="B37" s="5" t="s">
        <v>458</v>
      </c>
      <c r="C37" s="9" t="s">
        <v>459</v>
      </c>
      <c r="D37" s="9" t="s">
        <v>92</v>
      </c>
      <c r="E37" s="9" t="s">
        <v>53</v>
      </c>
      <c r="F37" s="9" t="s">
        <v>53</v>
      </c>
      <c r="G37" s="9" t="s">
        <v>796</v>
      </c>
      <c r="H37" s="5" t="s">
        <v>855</v>
      </c>
      <c r="I37" s="5" t="s">
        <v>853</v>
      </c>
      <c r="J37" s="9"/>
      <c r="K37" s="9" t="s">
        <v>462</v>
      </c>
      <c r="L37" s="9"/>
      <c r="M37" s="9" t="s">
        <v>67</v>
      </c>
      <c r="N37" s="9" t="s">
        <v>50</v>
      </c>
      <c r="O37" s="9" t="s">
        <v>461</v>
      </c>
      <c r="P37" s="9" t="s">
        <v>93</v>
      </c>
      <c r="Q37" s="9"/>
      <c r="R37" s="10" t="s">
        <v>460</v>
      </c>
      <c r="S37" s="9"/>
      <c r="T37" s="9"/>
      <c r="U37" s="9"/>
      <c r="V37" s="9"/>
      <c r="W37" s="9"/>
      <c r="X37" s="5" t="s">
        <v>856</v>
      </c>
      <c r="Y37" s="9" t="s">
        <v>64</v>
      </c>
      <c r="Z37" s="9"/>
      <c r="AA37" s="9" t="n">
        <v>1</v>
      </c>
      <c r="AB37" s="9" t="s">
        <v>463</v>
      </c>
    </row>
    <row r="38" customFormat="false" ht="35.05" hidden="false" customHeight="false" outlineLevel="0" collapsed="false">
      <c r="A38" s="9" t="s">
        <v>512</v>
      </c>
      <c r="B38" s="5" t="s">
        <v>513</v>
      </c>
      <c r="C38" s="9"/>
      <c r="D38" s="9" t="s">
        <v>92</v>
      </c>
      <c r="E38" s="9" t="s">
        <v>53</v>
      </c>
      <c r="F38" s="9" t="s">
        <v>53</v>
      </c>
      <c r="G38" s="9" t="s">
        <v>756</v>
      </c>
      <c r="H38" s="5" t="s">
        <v>793</v>
      </c>
      <c r="I38" s="5" t="s">
        <v>794</v>
      </c>
      <c r="J38" s="9"/>
      <c r="K38" s="9" t="s">
        <v>516</v>
      </c>
      <c r="L38" s="9"/>
      <c r="M38" s="9" t="s">
        <v>67</v>
      </c>
      <c r="N38" s="9" t="s">
        <v>50</v>
      </c>
      <c r="O38" s="9" t="s">
        <v>515</v>
      </c>
      <c r="P38" s="9" t="s">
        <v>93</v>
      </c>
      <c r="Q38" s="9"/>
      <c r="R38" s="10" t="s">
        <v>514</v>
      </c>
      <c r="S38" s="9"/>
      <c r="T38" s="9"/>
      <c r="U38" s="9"/>
      <c r="V38" s="9"/>
      <c r="W38" s="9"/>
      <c r="X38" s="5" t="s">
        <v>795</v>
      </c>
      <c r="Y38" s="9" t="s">
        <v>64</v>
      </c>
      <c r="Z38" s="9"/>
      <c r="AA38" s="9" t="n">
        <v>1</v>
      </c>
      <c r="AB38" s="9" t="s">
        <v>517</v>
      </c>
    </row>
    <row r="39" customFormat="false" ht="57.45" hidden="false" customHeight="false" outlineLevel="0" collapsed="false">
      <c r="A39" s="9" t="s">
        <v>301</v>
      </c>
      <c r="B39" s="5" t="s">
        <v>302</v>
      </c>
      <c r="C39" s="9" t="s">
        <v>303</v>
      </c>
      <c r="D39" s="9" t="s">
        <v>156</v>
      </c>
      <c r="E39" s="9" t="s">
        <v>54</v>
      </c>
      <c r="F39" s="9" t="s">
        <v>54</v>
      </c>
      <c r="G39" s="9" t="s">
        <v>879</v>
      </c>
      <c r="H39" s="5" t="s">
        <v>880</v>
      </c>
      <c r="I39" s="5" t="s">
        <v>881</v>
      </c>
      <c r="J39" s="9" t="s">
        <v>882</v>
      </c>
      <c r="K39" s="9" t="s">
        <v>664</v>
      </c>
      <c r="L39" s="9" t="s">
        <v>883</v>
      </c>
      <c r="M39" s="9" t="s">
        <v>884</v>
      </c>
      <c r="N39" s="9" t="s">
        <v>44</v>
      </c>
      <c r="O39" s="9" t="s">
        <v>219</v>
      </c>
      <c r="P39" s="9" t="s">
        <v>93</v>
      </c>
      <c r="Q39" s="9" t="s">
        <v>885</v>
      </c>
      <c r="R39" s="10" t="s">
        <v>304</v>
      </c>
      <c r="S39" s="9"/>
      <c r="T39" s="9" t="s">
        <v>308</v>
      </c>
      <c r="U39" s="9"/>
      <c r="V39" s="9" t="s">
        <v>886</v>
      </c>
      <c r="W39" s="9" t="s">
        <v>309</v>
      </c>
      <c r="X39" s="5" t="s">
        <v>887</v>
      </c>
      <c r="Y39" s="9" t="s">
        <v>62</v>
      </c>
      <c r="Z39" s="9" t="s">
        <v>53</v>
      </c>
      <c r="AA39" s="9" t="n">
        <v>3</v>
      </c>
      <c r="AB39" s="5" t="s">
        <v>888</v>
      </c>
    </row>
    <row r="40" customFormat="false" ht="46.25" hidden="false" customHeight="false" outlineLevel="0" collapsed="false">
      <c r="A40" s="9" t="s">
        <v>535</v>
      </c>
      <c r="B40" s="5" t="s">
        <v>536</v>
      </c>
      <c r="C40" s="9" t="s">
        <v>537</v>
      </c>
      <c r="D40" s="9" t="s">
        <v>92</v>
      </c>
      <c r="E40" s="9" t="s">
        <v>54</v>
      </c>
      <c r="F40" s="9" t="s">
        <v>54</v>
      </c>
      <c r="G40" s="9" t="s">
        <v>879</v>
      </c>
      <c r="H40" s="5" t="s">
        <v>889</v>
      </c>
      <c r="I40" s="5" t="s">
        <v>890</v>
      </c>
      <c r="J40" s="9" t="s">
        <v>891</v>
      </c>
      <c r="K40" s="9" t="s">
        <v>539</v>
      </c>
      <c r="L40" s="9" t="s">
        <v>839</v>
      </c>
      <c r="M40" s="9" t="s">
        <v>884</v>
      </c>
      <c r="N40" s="9" t="s">
        <v>44</v>
      </c>
      <c r="O40" s="9" t="s">
        <v>219</v>
      </c>
      <c r="P40" s="9" t="s">
        <v>93</v>
      </c>
      <c r="Q40" s="9" t="s">
        <v>892</v>
      </c>
      <c r="R40" s="10" t="s">
        <v>538</v>
      </c>
      <c r="S40" s="9"/>
      <c r="T40" s="9" t="s">
        <v>541</v>
      </c>
      <c r="U40" s="9"/>
      <c r="V40" s="9" t="s">
        <v>540</v>
      </c>
      <c r="W40" s="9"/>
      <c r="X40" s="5" t="s">
        <v>893</v>
      </c>
      <c r="Y40" s="9" t="s">
        <v>63</v>
      </c>
      <c r="Z40" s="9"/>
      <c r="AA40" s="9" t="n">
        <v>4</v>
      </c>
      <c r="AB40" s="5" t="s">
        <v>542</v>
      </c>
    </row>
    <row r="41" customFormat="false" ht="46.25" hidden="false" customHeight="false" outlineLevel="0" collapsed="false">
      <c r="A41" s="9" t="s">
        <v>552</v>
      </c>
      <c r="B41" s="5" t="s">
        <v>553</v>
      </c>
      <c r="C41" s="9" t="s">
        <v>894</v>
      </c>
      <c r="D41" s="9" t="s">
        <v>92</v>
      </c>
      <c r="E41" s="9" t="s">
        <v>54</v>
      </c>
      <c r="F41" s="9" t="s">
        <v>54</v>
      </c>
      <c r="G41" s="9" t="s">
        <v>879</v>
      </c>
      <c r="H41" s="5" t="s">
        <v>895</v>
      </c>
      <c r="I41" s="5"/>
      <c r="J41" s="9" t="s">
        <v>896</v>
      </c>
      <c r="K41" s="9" t="s">
        <v>664</v>
      </c>
      <c r="L41" s="9" t="s">
        <v>897</v>
      </c>
      <c r="M41" s="9" t="s">
        <v>884</v>
      </c>
      <c r="N41" s="9" t="s">
        <v>44</v>
      </c>
      <c r="O41" s="9" t="s">
        <v>93</v>
      </c>
      <c r="P41" s="9" t="s">
        <v>93</v>
      </c>
      <c r="Q41" s="9" t="s">
        <v>898</v>
      </c>
      <c r="R41" s="10" t="s">
        <v>555</v>
      </c>
      <c r="S41" s="9"/>
      <c r="T41" s="9"/>
      <c r="U41" s="9"/>
      <c r="V41" s="9" t="s">
        <v>899</v>
      </c>
      <c r="W41" s="9"/>
      <c r="X41" s="5" t="s">
        <v>900</v>
      </c>
      <c r="Y41" s="9" t="s">
        <v>63</v>
      </c>
      <c r="Z41" s="9" t="s">
        <v>53</v>
      </c>
      <c r="AA41" s="9" t="n">
        <v>3</v>
      </c>
      <c r="AB41" s="5" t="s">
        <v>901</v>
      </c>
    </row>
    <row r="42" customFormat="false" ht="35.05" hidden="false" customHeight="false" outlineLevel="0" collapsed="false">
      <c r="A42" s="9" t="s">
        <v>675</v>
      </c>
      <c r="B42" s="5" t="s">
        <v>676</v>
      </c>
      <c r="C42" s="9" t="s">
        <v>677</v>
      </c>
      <c r="D42" s="9" t="s">
        <v>156</v>
      </c>
      <c r="E42" s="9" t="s">
        <v>54</v>
      </c>
      <c r="F42" s="9" t="s">
        <v>54</v>
      </c>
      <c r="G42" s="9" t="s">
        <v>879</v>
      </c>
      <c r="H42" s="5" t="s">
        <v>902</v>
      </c>
      <c r="I42" s="5"/>
      <c r="J42" s="9" t="s">
        <v>903</v>
      </c>
      <c r="K42" s="9" t="s">
        <v>664</v>
      </c>
      <c r="L42" s="9" t="s">
        <v>904</v>
      </c>
      <c r="M42" s="9" t="s">
        <v>884</v>
      </c>
      <c r="N42" s="9" t="s">
        <v>44</v>
      </c>
      <c r="O42" s="9" t="s">
        <v>905</v>
      </c>
      <c r="P42" s="9" t="s">
        <v>93</v>
      </c>
      <c r="Q42" s="9" t="s">
        <v>906</v>
      </c>
      <c r="R42" s="10" t="s">
        <v>678</v>
      </c>
      <c r="S42" s="9"/>
      <c r="T42" s="9"/>
      <c r="U42" s="9"/>
      <c r="V42" s="9" t="s">
        <v>907</v>
      </c>
      <c r="W42" s="9"/>
      <c r="X42" s="5" t="s">
        <v>908</v>
      </c>
      <c r="Y42" s="9" t="s">
        <v>63</v>
      </c>
      <c r="Z42" s="9" t="s">
        <v>53</v>
      </c>
      <c r="AA42" s="9" t="n">
        <v>3</v>
      </c>
      <c r="AB42" s="5" t="s">
        <v>909</v>
      </c>
    </row>
    <row r="43" customFormat="false" ht="46.25" hidden="false" customHeight="false" outlineLevel="0" collapsed="false">
      <c r="A43" s="9" t="s">
        <v>564</v>
      </c>
      <c r="B43" s="5" t="s">
        <v>565</v>
      </c>
      <c r="C43" s="9" t="s">
        <v>910</v>
      </c>
      <c r="D43" s="9" t="s">
        <v>156</v>
      </c>
      <c r="E43" s="9" t="s">
        <v>54</v>
      </c>
      <c r="F43" s="9" t="s">
        <v>54</v>
      </c>
      <c r="G43" s="9" t="s">
        <v>879</v>
      </c>
      <c r="H43" s="5" t="s">
        <v>911</v>
      </c>
      <c r="I43" s="5"/>
      <c r="J43" s="9" t="s">
        <v>912</v>
      </c>
      <c r="K43" s="9" t="s">
        <v>664</v>
      </c>
      <c r="L43" s="9" t="s">
        <v>913</v>
      </c>
      <c r="M43" s="9" t="s">
        <v>884</v>
      </c>
      <c r="N43" s="9" t="s">
        <v>44</v>
      </c>
      <c r="O43" s="9" t="s">
        <v>219</v>
      </c>
      <c r="P43" s="9" t="s">
        <v>93</v>
      </c>
      <c r="Q43" s="9" t="s">
        <v>914</v>
      </c>
      <c r="R43" s="10" t="s">
        <v>915</v>
      </c>
      <c r="S43" s="9"/>
      <c r="T43" s="9"/>
      <c r="U43" s="9"/>
      <c r="V43" s="9" t="s">
        <v>916</v>
      </c>
      <c r="W43" s="9" t="s">
        <v>570</v>
      </c>
      <c r="X43" s="5" t="s">
        <v>917</v>
      </c>
      <c r="Y43" s="9" t="s">
        <v>64</v>
      </c>
      <c r="Z43" s="9" t="s">
        <v>53</v>
      </c>
      <c r="AA43" s="9" t="n">
        <v>3</v>
      </c>
      <c r="AB43" s="5" t="s">
        <v>918</v>
      </c>
    </row>
    <row r="44" customFormat="false" ht="57.45" hidden="false" customHeight="false" outlineLevel="0" collapsed="false">
      <c r="A44" s="9" t="s">
        <v>250</v>
      </c>
      <c r="B44" s="5" t="s">
        <v>251</v>
      </c>
      <c r="C44" s="9" t="s">
        <v>252</v>
      </c>
      <c r="D44" s="9" t="s">
        <v>156</v>
      </c>
      <c r="E44" s="9" t="s">
        <v>54</v>
      </c>
      <c r="F44" s="9" t="s">
        <v>54</v>
      </c>
      <c r="G44" s="9" t="s">
        <v>879</v>
      </c>
      <c r="H44" s="5" t="s">
        <v>919</v>
      </c>
      <c r="I44" s="5" t="s">
        <v>920</v>
      </c>
      <c r="J44" s="9" t="s">
        <v>921</v>
      </c>
      <c r="K44" s="9" t="s">
        <v>255</v>
      </c>
      <c r="L44" s="9" t="s">
        <v>922</v>
      </c>
      <c r="M44" s="9" t="s">
        <v>884</v>
      </c>
      <c r="N44" s="9" t="s">
        <v>45</v>
      </c>
      <c r="O44" s="9" t="s">
        <v>254</v>
      </c>
      <c r="P44" s="9" t="s">
        <v>93</v>
      </c>
      <c r="Q44" s="9" t="s">
        <v>923</v>
      </c>
      <c r="R44" s="10" t="s">
        <v>253</v>
      </c>
      <c r="S44" s="9"/>
      <c r="T44" s="9" t="s">
        <v>257</v>
      </c>
      <c r="U44" s="9"/>
      <c r="V44" s="9" t="s">
        <v>256</v>
      </c>
      <c r="W44" s="9"/>
      <c r="X44" s="5" t="s">
        <v>924</v>
      </c>
      <c r="Y44" s="9" t="s">
        <v>63</v>
      </c>
      <c r="Z44" s="9"/>
      <c r="AA44" s="9" t="n">
        <v>2</v>
      </c>
      <c r="AB44" s="5" t="s">
        <v>258</v>
      </c>
    </row>
    <row r="45" customFormat="false" ht="57.45" hidden="false" customHeight="false" outlineLevel="0" collapsed="false">
      <c r="A45" s="9" t="s">
        <v>312</v>
      </c>
      <c r="B45" s="5" t="s">
        <v>313</v>
      </c>
      <c r="C45" s="9" t="s">
        <v>314</v>
      </c>
      <c r="D45" s="9" t="s">
        <v>156</v>
      </c>
      <c r="E45" s="9" t="s">
        <v>54</v>
      </c>
      <c r="F45" s="9" t="s">
        <v>54</v>
      </c>
      <c r="G45" s="9" t="s">
        <v>879</v>
      </c>
      <c r="H45" s="5" t="s">
        <v>925</v>
      </c>
      <c r="I45" s="5" t="s">
        <v>926</v>
      </c>
      <c r="J45" s="9" t="s">
        <v>927</v>
      </c>
      <c r="K45" s="9" t="s">
        <v>255</v>
      </c>
      <c r="L45" s="9" t="s">
        <v>928</v>
      </c>
      <c r="M45" s="9" t="s">
        <v>884</v>
      </c>
      <c r="N45" s="9" t="s">
        <v>45</v>
      </c>
      <c r="O45" s="9"/>
      <c r="P45" s="9" t="s">
        <v>93</v>
      </c>
      <c r="Q45" s="9" t="s">
        <v>929</v>
      </c>
      <c r="R45" s="9"/>
      <c r="S45" s="9"/>
      <c r="T45" s="9" t="s">
        <v>316</v>
      </c>
      <c r="U45" s="9"/>
      <c r="V45" s="9" t="s">
        <v>315</v>
      </c>
      <c r="W45" s="9"/>
      <c r="X45" s="5" t="s">
        <v>930</v>
      </c>
      <c r="Y45" s="9" t="s">
        <v>63</v>
      </c>
      <c r="Z45" s="9"/>
      <c r="AA45" s="9" t="n">
        <v>3</v>
      </c>
      <c r="AB45" s="5" t="s">
        <v>317</v>
      </c>
    </row>
    <row r="46" customFormat="false" ht="135.8" hidden="false" customHeight="false" outlineLevel="0" collapsed="false">
      <c r="A46" s="9" t="s">
        <v>639</v>
      </c>
      <c r="B46" s="5" t="s">
        <v>640</v>
      </c>
      <c r="C46" s="9" t="s">
        <v>931</v>
      </c>
      <c r="D46" s="9" t="s">
        <v>156</v>
      </c>
      <c r="E46" s="9" t="s">
        <v>54</v>
      </c>
      <c r="F46" s="9" t="s">
        <v>54</v>
      </c>
      <c r="G46" s="9" t="s">
        <v>879</v>
      </c>
      <c r="H46" s="5" t="s">
        <v>932</v>
      </c>
      <c r="I46" s="5" t="s">
        <v>933</v>
      </c>
      <c r="J46" s="9" t="s">
        <v>934</v>
      </c>
      <c r="K46" s="9" t="s">
        <v>935</v>
      </c>
      <c r="L46" s="9" t="s">
        <v>936</v>
      </c>
      <c r="M46" s="9" t="s">
        <v>884</v>
      </c>
      <c r="N46" s="9" t="s">
        <v>45</v>
      </c>
      <c r="O46" s="9" t="s">
        <v>937</v>
      </c>
      <c r="P46" s="9" t="s">
        <v>93</v>
      </c>
      <c r="Q46" s="9" t="s">
        <v>938</v>
      </c>
      <c r="R46" s="10" t="s">
        <v>642</v>
      </c>
      <c r="S46" s="9"/>
      <c r="T46" s="9" t="s">
        <v>646</v>
      </c>
      <c r="U46" s="9" t="s">
        <v>647</v>
      </c>
      <c r="V46" s="9" t="s">
        <v>939</v>
      </c>
      <c r="W46" s="9" t="s">
        <v>940</v>
      </c>
      <c r="X46" s="5" t="s">
        <v>941</v>
      </c>
      <c r="Y46" s="9" t="s">
        <v>63</v>
      </c>
      <c r="Z46" s="9" t="s">
        <v>53</v>
      </c>
      <c r="AA46" s="9" t="n">
        <v>7</v>
      </c>
      <c r="AB46" s="5" t="s">
        <v>942</v>
      </c>
    </row>
    <row r="47" customFormat="false" ht="46.25" hidden="false" customHeight="false" outlineLevel="0" collapsed="false">
      <c r="A47" s="9" t="s">
        <v>628</v>
      </c>
      <c r="B47" s="5" t="s">
        <v>629</v>
      </c>
      <c r="C47" s="9" t="s">
        <v>630</v>
      </c>
      <c r="D47" s="9" t="s">
        <v>92</v>
      </c>
      <c r="E47" s="9" t="s">
        <v>54</v>
      </c>
      <c r="F47" s="9" t="s">
        <v>54</v>
      </c>
      <c r="G47" s="9" t="s">
        <v>958</v>
      </c>
      <c r="H47" s="5" t="s">
        <v>959</v>
      </c>
      <c r="I47" s="5" t="s">
        <v>960</v>
      </c>
      <c r="J47" s="9"/>
      <c r="K47" s="9" t="s">
        <v>427</v>
      </c>
      <c r="L47" s="9" t="s">
        <v>961</v>
      </c>
      <c r="M47" s="9" t="s">
        <v>884</v>
      </c>
      <c r="N47" s="9" t="s">
        <v>46</v>
      </c>
      <c r="O47" s="9" t="s">
        <v>631</v>
      </c>
      <c r="P47" s="9" t="s">
        <v>93</v>
      </c>
      <c r="Q47" s="9" t="s">
        <v>962</v>
      </c>
      <c r="R47" s="9"/>
      <c r="S47" s="9"/>
      <c r="T47" s="9"/>
      <c r="U47" s="9"/>
      <c r="V47" s="9"/>
      <c r="W47" s="9"/>
      <c r="X47" s="5" t="s">
        <v>963</v>
      </c>
      <c r="Y47" s="9" t="s">
        <v>63</v>
      </c>
      <c r="Z47" s="9"/>
      <c r="AA47" s="9" t="n">
        <v>3</v>
      </c>
      <c r="AB47" s="5" t="s">
        <v>632</v>
      </c>
    </row>
    <row r="48" customFormat="false" ht="57.45" hidden="false" customHeight="false" outlineLevel="0" collapsed="false">
      <c r="A48" s="9" t="s">
        <v>660</v>
      </c>
      <c r="B48" s="5" t="s">
        <v>661</v>
      </c>
      <c r="C48" s="9" t="s">
        <v>662</v>
      </c>
      <c r="D48" s="9" t="s">
        <v>156</v>
      </c>
      <c r="E48" s="9" t="s">
        <v>54</v>
      </c>
      <c r="F48" s="9" t="s">
        <v>54</v>
      </c>
      <c r="G48" s="9" t="s">
        <v>879</v>
      </c>
      <c r="H48" s="5" t="s">
        <v>943</v>
      </c>
      <c r="I48" s="5"/>
      <c r="J48" s="9" t="s">
        <v>944</v>
      </c>
      <c r="K48" s="9" t="s">
        <v>664</v>
      </c>
      <c r="L48" s="9" t="s">
        <v>913</v>
      </c>
      <c r="M48" s="9" t="s">
        <v>884</v>
      </c>
      <c r="N48" s="9" t="s">
        <v>47</v>
      </c>
      <c r="O48" s="9" t="s">
        <v>663</v>
      </c>
      <c r="P48" s="9" t="s">
        <v>93</v>
      </c>
      <c r="Q48" s="9" t="s">
        <v>945</v>
      </c>
      <c r="R48" s="9"/>
      <c r="S48" s="9"/>
      <c r="T48" s="9"/>
      <c r="U48" s="9"/>
      <c r="V48" s="9" t="s">
        <v>665</v>
      </c>
      <c r="W48" s="9"/>
      <c r="X48" s="5" t="s">
        <v>946</v>
      </c>
      <c r="Y48" s="9" t="s">
        <v>64</v>
      </c>
      <c r="Z48" s="9"/>
      <c r="AA48" s="9" t="n">
        <v>2</v>
      </c>
      <c r="AB48" s="5" t="s">
        <v>666</v>
      </c>
    </row>
    <row r="49" customFormat="false" ht="79.85" hidden="false" customHeight="false" outlineLevel="0" collapsed="false">
      <c r="A49" s="9" t="s">
        <v>518</v>
      </c>
      <c r="B49" s="5" t="s">
        <v>519</v>
      </c>
      <c r="C49" s="9" t="s">
        <v>947</v>
      </c>
      <c r="D49" s="9" t="s">
        <v>156</v>
      </c>
      <c r="E49" s="9" t="s">
        <v>54</v>
      </c>
      <c r="F49" s="9" t="s">
        <v>54</v>
      </c>
      <c r="G49" s="9" t="s">
        <v>879</v>
      </c>
      <c r="H49" s="5" t="s">
        <v>948</v>
      </c>
      <c r="I49" s="5" t="s">
        <v>949</v>
      </c>
      <c r="J49" s="9" t="s">
        <v>950</v>
      </c>
      <c r="K49" s="9" t="s">
        <v>255</v>
      </c>
      <c r="L49" s="9" t="s">
        <v>951</v>
      </c>
      <c r="M49" s="9" t="s">
        <v>884</v>
      </c>
      <c r="N49" s="9" t="s">
        <v>48</v>
      </c>
      <c r="O49" s="9" t="s">
        <v>952</v>
      </c>
      <c r="P49" s="9" t="s">
        <v>93</v>
      </c>
      <c r="Q49" s="9" t="s">
        <v>953</v>
      </c>
      <c r="R49" s="9"/>
      <c r="S49" s="9"/>
      <c r="T49" s="9" t="s">
        <v>954</v>
      </c>
      <c r="U49" s="9"/>
      <c r="V49" s="9" t="s">
        <v>955</v>
      </c>
      <c r="W49" s="9"/>
      <c r="X49" s="5" t="s">
        <v>956</v>
      </c>
      <c r="Y49" s="9" t="s">
        <v>63</v>
      </c>
      <c r="Z49" s="9" t="s">
        <v>53</v>
      </c>
      <c r="AA49" s="9" t="n">
        <v>6</v>
      </c>
      <c r="AB49" s="5" t="s">
        <v>957</v>
      </c>
    </row>
    <row r="50" customFormat="false" ht="68.65" hidden="false" customHeight="false" outlineLevel="0" collapsed="false">
      <c r="A50" s="9" t="s">
        <v>422</v>
      </c>
      <c r="B50" s="5" t="s">
        <v>423</v>
      </c>
      <c r="C50" s="9" t="s">
        <v>424</v>
      </c>
      <c r="D50" s="9" t="s">
        <v>92</v>
      </c>
      <c r="E50" s="9" t="s">
        <v>54</v>
      </c>
      <c r="F50" s="9" t="s">
        <v>54</v>
      </c>
      <c r="G50" s="9" t="s">
        <v>958</v>
      </c>
      <c r="H50" s="5" t="s">
        <v>964</v>
      </c>
      <c r="I50" s="5" t="s">
        <v>965</v>
      </c>
      <c r="J50" s="9" t="s">
        <v>966</v>
      </c>
      <c r="K50" s="9" t="s">
        <v>427</v>
      </c>
      <c r="L50" s="9" t="s">
        <v>967</v>
      </c>
      <c r="M50" s="9" t="s">
        <v>884</v>
      </c>
      <c r="N50" s="9" t="s">
        <v>50</v>
      </c>
      <c r="O50" s="9" t="s">
        <v>426</v>
      </c>
      <c r="P50" s="9" t="s">
        <v>93</v>
      </c>
      <c r="Q50" s="9" t="s">
        <v>968</v>
      </c>
      <c r="R50" s="10" t="s">
        <v>425</v>
      </c>
      <c r="S50" s="9"/>
      <c r="T50" s="9" t="s">
        <v>429</v>
      </c>
      <c r="U50" s="9"/>
      <c r="V50" s="9" t="s">
        <v>428</v>
      </c>
      <c r="W50" s="9"/>
      <c r="X50" s="5" t="s">
        <v>969</v>
      </c>
      <c r="Y50" s="9" t="s">
        <v>63</v>
      </c>
      <c r="Z50" s="9"/>
      <c r="AA50" s="9" t="n">
        <v>5</v>
      </c>
      <c r="AB50" s="5" t="s">
        <v>430</v>
      </c>
    </row>
    <row r="51" customFormat="false" ht="68.65" hidden="false" customHeight="false" outlineLevel="0" collapsed="false">
      <c r="A51" s="9" t="s">
        <v>431</v>
      </c>
      <c r="B51" s="5" t="s">
        <v>432</v>
      </c>
      <c r="C51" s="9" t="s">
        <v>433</v>
      </c>
      <c r="D51" s="9" t="s">
        <v>92</v>
      </c>
      <c r="E51" s="9" t="s">
        <v>54</v>
      </c>
      <c r="F51" s="9" t="s">
        <v>54</v>
      </c>
      <c r="G51" s="9" t="s">
        <v>958</v>
      </c>
      <c r="H51" s="5" t="s">
        <v>970</v>
      </c>
      <c r="I51" s="5"/>
      <c r="J51" s="9"/>
      <c r="K51" s="9" t="s">
        <v>427</v>
      </c>
      <c r="L51" s="9" t="s">
        <v>971</v>
      </c>
      <c r="M51" s="9" t="s">
        <v>884</v>
      </c>
      <c r="N51" s="9" t="s">
        <v>50</v>
      </c>
      <c r="O51" s="9" t="s">
        <v>426</v>
      </c>
      <c r="P51" s="9" t="s">
        <v>93</v>
      </c>
      <c r="Q51" s="9"/>
      <c r="R51" s="10" t="s">
        <v>434</v>
      </c>
      <c r="S51" s="9"/>
      <c r="T51" s="9"/>
      <c r="U51" s="9"/>
      <c r="V51" s="9" t="s">
        <v>435</v>
      </c>
      <c r="W51" s="9"/>
      <c r="X51" s="5" t="s">
        <v>972</v>
      </c>
      <c r="Y51" s="9" t="s">
        <v>64</v>
      </c>
      <c r="Z51" s="9"/>
      <c r="AA51" s="9" t="n">
        <v>4</v>
      </c>
      <c r="AB51" s="5" t="s">
        <v>436</v>
      </c>
    </row>
    <row r="52" customFormat="false" ht="46.25" hidden="false" customHeight="false" outlineLevel="0" collapsed="false">
      <c r="A52" s="9" t="s">
        <v>528</v>
      </c>
      <c r="B52" s="5" t="s">
        <v>529</v>
      </c>
      <c r="C52" s="9" t="s">
        <v>530</v>
      </c>
      <c r="D52" s="9" t="s">
        <v>156</v>
      </c>
      <c r="E52" s="9" t="s">
        <v>55</v>
      </c>
      <c r="F52" s="9" t="s">
        <v>55</v>
      </c>
      <c r="G52" s="9" t="s">
        <v>974</v>
      </c>
      <c r="H52" s="5" t="s">
        <v>975</v>
      </c>
      <c r="I52" s="5" t="s">
        <v>976</v>
      </c>
      <c r="J52" s="9" t="s">
        <v>977</v>
      </c>
      <c r="K52" s="9" t="s">
        <v>532</v>
      </c>
      <c r="L52" s="9" t="s">
        <v>978</v>
      </c>
      <c r="M52" s="9" t="s">
        <v>65</v>
      </c>
      <c r="N52" s="9" t="s">
        <v>50</v>
      </c>
      <c r="O52" s="9" t="s">
        <v>113</v>
      </c>
      <c r="P52" s="9" t="s">
        <v>93</v>
      </c>
      <c r="Q52" s="9"/>
      <c r="R52" s="10" t="s">
        <v>531</v>
      </c>
      <c r="S52" s="9"/>
      <c r="T52" s="9"/>
      <c r="U52" s="9"/>
      <c r="V52" s="9" t="s">
        <v>533</v>
      </c>
      <c r="W52" s="9"/>
      <c r="X52" s="5" t="s">
        <v>979</v>
      </c>
      <c r="Y52" s="9" t="s">
        <v>63</v>
      </c>
      <c r="Z52" s="9"/>
      <c r="AA52" s="9" t="n">
        <v>6</v>
      </c>
      <c r="AB52" s="5" t="s">
        <v>534</v>
      </c>
    </row>
    <row r="53" customFormat="false" ht="35.05" hidden="false" customHeight="false" outlineLevel="0" collapsed="false">
      <c r="A53" s="9" t="s">
        <v>194</v>
      </c>
      <c r="B53" s="5" t="s">
        <v>195</v>
      </c>
      <c r="C53" s="9" t="s">
        <v>985</v>
      </c>
      <c r="D53" s="9" t="s">
        <v>92</v>
      </c>
      <c r="E53" s="9" t="s">
        <v>55</v>
      </c>
      <c r="F53" s="9" t="s">
        <v>55</v>
      </c>
      <c r="G53" s="9" t="s">
        <v>986</v>
      </c>
      <c r="H53" s="5" t="s">
        <v>987</v>
      </c>
      <c r="I53" s="5" t="s">
        <v>988</v>
      </c>
      <c r="J53" s="9"/>
      <c r="K53" s="9" t="s">
        <v>243</v>
      </c>
      <c r="L53" s="9"/>
      <c r="M53" s="9" t="s">
        <v>66</v>
      </c>
      <c r="N53" s="9" t="s">
        <v>44</v>
      </c>
      <c r="O53" s="9"/>
      <c r="P53" s="9" t="s">
        <v>93</v>
      </c>
      <c r="Q53" s="9" t="s">
        <v>989</v>
      </c>
      <c r="R53" s="10" t="s">
        <v>197</v>
      </c>
      <c r="S53" s="9"/>
      <c r="T53" s="9"/>
      <c r="U53" s="9"/>
      <c r="V53" s="9"/>
      <c r="W53" s="9"/>
      <c r="X53" s="5" t="s">
        <v>990</v>
      </c>
      <c r="Y53" s="9" t="s">
        <v>64</v>
      </c>
      <c r="Z53" s="9" t="s">
        <v>56</v>
      </c>
      <c r="AA53" s="9" t="n">
        <v>1</v>
      </c>
      <c r="AB53" s="9" t="s">
        <v>991</v>
      </c>
    </row>
    <row r="54" customFormat="false" ht="46.25" hidden="false" customHeight="false" outlineLevel="0" collapsed="false">
      <c r="A54" s="9" t="s">
        <v>617</v>
      </c>
      <c r="B54" s="5" t="s">
        <v>618</v>
      </c>
      <c r="C54" s="9" t="s">
        <v>619</v>
      </c>
      <c r="D54" s="9" t="s">
        <v>92</v>
      </c>
      <c r="E54" s="9" t="s">
        <v>55</v>
      </c>
      <c r="F54" s="9" t="s">
        <v>55</v>
      </c>
      <c r="G54" s="9" t="s">
        <v>986</v>
      </c>
      <c r="H54" s="5" t="s">
        <v>992</v>
      </c>
      <c r="I54" s="5" t="s">
        <v>993</v>
      </c>
      <c r="J54" s="9"/>
      <c r="K54" s="9" t="s">
        <v>274</v>
      </c>
      <c r="L54" s="9" t="s">
        <v>994</v>
      </c>
      <c r="M54" s="9" t="s">
        <v>66</v>
      </c>
      <c r="N54" s="9" t="s">
        <v>46</v>
      </c>
      <c r="O54" s="9"/>
      <c r="P54" s="9" t="s">
        <v>93</v>
      </c>
      <c r="Q54" s="9"/>
      <c r="R54" s="9"/>
      <c r="S54" s="9"/>
      <c r="T54" s="9" t="s">
        <v>621</v>
      </c>
      <c r="U54" s="9"/>
      <c r="V54" s="9" t="s">
        <v>620</v>
      </c>
      <c r="W54" s="9"/>
      <c r="X54" s="5" t="s">
        <v>995</v>
      </c>
      <c r="Y54" s="9" t="s">
        <v>63</v>
      </c>
      <c r="Z54" s="9"/>
      <c r="AA54" s="9" t="n">
        <v>6</v>
      </c>
      <c r="AB54" s="5" t="s">
        <v>622</v>
      </c>
    </row>
    <row r="55" customFormat="false" ht="23.85" hidden="false" customHeight="false" outlineLevel="0" collapsed="false">
      <c r="A55" s="9" t="s">
        <v>362</v>
      </c>
      <c r="B55" s="5" t="s">
        <v>363</v>
      </c>
      <c r="C55" s="9" t="s">
        <v>364</v>
      </c>
      <c r="D55" s="9" t="s">
        <v>156</v>
      </c>
      <c r="E55" s="9" t="s">
        <v>55</v>
      </c>
      <c r="F55" s="9" t="s">
        <v>55</v>
      </c>
      <c r="G55" s="9" t="s">
        <v>974</v>
      </c>
      <c r="H55" s="5" t="s">
        <v>980</v>
      </c>
      <c r="I55" s="5" t="s">
        <v>981</v>
      </c>
      <c r="J55" s="9"/>
      <c r="K55" s="9" t="s">
        <v>114</v>
      </c>
      <c r="L55" s="9" t="s">
        <v>982</v>
      </c>
      <c r="M55" s="9" t="s">
        <v>66</v>
      </c>
      <c r="N55" s="9" t="s">
        <v>48</v>
      </c>
      <c r="O55" s="9"/>
      <c r="P55" s="9" t="s">
        <v>93</v>
      </c>
      <c r="Q55" s="9" t="s">
        <v>983</v>
      </c>
      <c r="R55" s="10" t="s">
        <v>365</v>
      </c>
      <c r="S55" s="9"/>
      <c r="T55" s="9"/>
      <c r="U55" s="9"/>
      <c r="V55" s="9" t="s">
        <v>366</v>
      </c>
      <c r="W55" s="9"/>
      <c r="X55" s="5" t="s">
        <v>984</v>
      </c>
      <c r="Y55" s="9" t="s">
        <v>63</v>
      </c>
      <c r="Z55" s="9"/>
      <c r="AA55" s="9" t="n">
        <v>3</v>
      </c>
      <c r="AB55" s="5" t="s">
        <v>367</v>
      </c>
    </row>
    <row r="56" customFormat="false" ht="57.45" hidden="false" customHeight="false" outlineLevel="0" collapsed="false">
      <c r="A56" s="9" t="s">
        <v>240</v>
      </c>
      <c r="B56" s="5" t="s">
        <v>241</v>
      </c>
      <c r="C56" s="9" t="s">
        <v>242</v>
      </c>
      <c r="D56" s="9" t="s">
        <v>92</v>
      </c>
      <c r="E56" s="9" t="s">
        <v>55</v>
      </c>
      <c r="F56" s="9" t="s">
        <v>55</v>
      </c>
      <c r="G56" s="9" t="s">
        <v>986</v>
      </c>
      <c r="H56" s="5" t="s">
        <v>996</v>
      </c>
      <c r="I56" s="5" t="s">
        <v>988</v>
      </c>
      <c r="J56" s="9" t="s">
        <v>997</v>
      </c>
      <c r="K56" s="9" t="s">
        <v>243</v>
      </c>
      <c r="L56" s="9" t="s">
        <v>998</v>
      </c>
      <c r="M56" s="9" t="s">
        <v>66</v>
      </c>
      <c r="N56" s="9" t="s">
        <v>50</v>
      </c>
      <c r="O56" s="9"/>
      <c r="P56" s="9" t="s">
        <v>93</v>
      </c>
      <c r="Q56" s="9" t="s">
        <v>999</v>
      </c>
      <c r="R56" s="9"/>
      <c r="S56" s="9"/>
      <c r="T56" s="9"/>
      <c r="U56" s="9"/>
      <c r="V56" s="9" t="s">
        <v>244</v>
      </c>
      <c r="W56" s="9"/>
      <c r="X56" s="5" t="s">
        <v>1000</v>
      </c>
      <c r="Y56" s="9" t="s">
        <v>63</v>
      </c>
      <c r="Z56" s="9"/>
      <c r="AA56" s="9" t="n">
        <v>5</v>
      </c>
      <c r="AB56" s="5" t="s">
        <v>245</v>
      </c>
    </row>
    <row r="57" customFormat="false" ht="46.25" hidden="false" customHeight="false" outlineLevel="0" collapsed="false">
      <c r="A57" s="9" t="s">
        <v>271</v>
      </c>
      <c r="B57" s="5" t="s">
        <v>272</v>
      </c>
      <c r="C57" s="9" t="s">
        <v>273</v>
      </c>
      <c r="D57" s="9" t="s">
        <v>92</v>
      </c>
      <c r="E57" s="9" t="s">
        <v>55</v>
      </c>
      <c r="F57" s="9" t="s">
        <v>55</v>
      </c>
      <c r="G57" s="9" t="s">
        <v>986</v>
      </c>
      <c r="H57" s="5" t="s">
        <v>1001</v>
      </c>
      <c r="I57" s="5" t="s">
        <v>1002</v>
      </c>
      <c r="J57" s="9" t="s">
        <v>1003</v>
      </c>
      <c r="K57" s="9" t="s">
        <v>274</v>
      </c>
      <c r="L57" s="9" t="s">
        <v>1004</v>
      </c>
      <c r="M57" s="9" t="s">
        <v>66</v>
      </c>
      <c r="N57" s="9" t="s">
        <v>50</v>
      </c>
      <c r="O57" s="9"/>
      <c r="P57" s="9" t="s">
        <v>93</v>
      </c>
      <c r="Q57" s="9" t="s">
        <v>1005</v>
      </c>
      <c r="R57" s="9"/>
      <c r="S57" s="9"/>
      <c r="T57" s="9"/>
      <c r="U57" s="9"/>
      <c r="V57" s="9" t="s">
        <v>275</v>
      </c>
      <c r="W57" s="9"/>
      <c r="X57" s="5" t="s">
        <v>1006</v>
      </c>
      <c r="Y57" s="9" t="s">
        <v>63</v>
      </c>
      <c r="Z57" s="9"/>
      <c r="AA57" s="9" t="n">
        <v>4</v>
      </c>
      <c r="AB57" s="5" t="s">
        <v>276</v>
      </c>
    </row>
    <row r="58" customFormat="false" ht="23.85" hidden="false" customHeight="false" outlineLevel="0" collapsed="false">
      <c r="A58" s="9" t="s">
        <v>559</v>
      </c>
      <c r="B58" s="5" t="s">
        <v>560</v>
      </c>
      <c r="C58" s="9" t="s">
        <v>561</v>
      </c>
      <c r="D58" s="9" t="s">
        <v>156</v>
      </c>
      <c r="E58" s="9" t="s">
        <v>55</v>
      </c>
      <c r="F58" s="9" t="s">
        <v>55</v>
      </c>
      <c r="G58" s="9" t="s">
        <v>986</v>
      </c>
      <c r="H58" s="5" t="s">
        <v>1007</v>
      </c>
      <c r="I58" s="5" t="s">
        <v>988</v>
      </c>
      <c r="J58" s="9"/>
      <c r="K58" s="9" t="s">
        <v>243</v>
      </c>
      <c r="L58" s="9" t="s">
        <v>1008</v>
      </c>
      <c r="M58" s="9" t="s">
        <v>66</v>
      </c>
      <c r="N58" s="9" t="s">
        <v>51</v>
      </c>
      <c r="O58" s="9"/>
      <c r="P58" s="9" t="s">
        <v>562</v>
      </c>
      <c r="Q58" s="9"/>
      <c r="R58" s="9"/>
      <c r="S58" s="9"/>
      <c r="T58" s="9"/>
      <c r="U58" s="9"/>
      <c r="V58" s="9"/>
      <c r="W58" s="9"/>
      <c r="X58" s="5" t="s">
        <v>1009</v>
      </c>
      <c r="Y58" s="9" t="s">
        <v>63</v>
      </c>
      <c r="Z58" s="9"/>
      <c r="AA58" s="9" t="n">
        <v>1</v>
      </c>
      <c r="AB58" s="9" t="s">
        <v>563</v>
      </c>
    </row>
    <row r="59" customFormat="false" ht="79.85" hidden="false" customHeight="false" outlineLevel="0" collapsed="false">
      <c r="A59" s="9" t="s">
        <v>194</v>
      </c>
      <c r="B59" s="5" t="s">
        <v>195</v>
      </c>
      <c r="C59" s="9" t="s">
        <v>1011</v>
      </c>
      <c r="D59" s="9" t="s">
        <v>92</v>
      </c>
      <c r="E59" s="9" t="s">
        <v>56</v>
      </c>
      <c r="F59" s="9" t="s">
        <v>56</v>
      </c>
      <c r="G59" s="9" t="s">
        <v>1012</v>
      </c>
      <c r="H59" s="5" t="s">
        <v>1013</v>
      </c>
      <c r="I59" s="5" t="s">
        <v>1014</v>
      </c>
      <c r="J59" s="9"/>
      <c r="K59" s="9" t="s">
        <v>532</v>
      </c>
      <c r="L59" s="9" t="s">
        <v>1015</v>
      </c>
      <c r="M59" s="9" t="s">
        <v>65</v>
      </c>
      <c r="N59" s="9" t="s">
        <v>44</v>
      </c>
      <c r="O59" s="9"/>
      <c r="P59" s="9" t="s">
        <v>93</v>
      </c>
      <c r="Q59" s="9" t="s">
        <v>1016</v>
      </c>
      <c r="R59" s="9"/>
      <c r="S59" s="9" t="s">
        <v>201</v>
      </c>
      <c r="T59" s="9"/>
      <c r="U59" s="9"/>
      <c r="V59" s="9" t="s">
        <v>200</v>
      </c>
      <c r="W59" s="9"/>
      <c r="X59" s="5" t="s">
        <v>1017</v>
      </c>
      <c r="Y59" s="9" t="s">
        <v>63</v>
      </c>
      <c r="Z59" s="9" t="s">
        <v>55</v>
      </c>
      <c r="AA59" s="9" t="n">
        <v>6</v>
      </c>
      <c r="AB59" s="5" t="s">
        <v>1018</v>
      </c>
    </row>
    <row r="60" customFormat="false" ht="79.85" hidden="false" customHeight="false" outlineLevel="0" collapsed="false">
      <c r="A60" s="9" t="s">
        <v>582</v>
      </c>
      <c r="B60" s="5" t="s">
        <v>583</v>
      </c>
      <c r="C60" s="9" t="s">
        <v>584</v>
      </c>
      <c r="D60" s="9" t="s">
        <v>92</v>
      </c>
      <c r="E60" s="9" t="s">
        <v>56</v>
      </c>
      <c r="F60" s="9" t="s">
        <v>56</v>
      </c>
      <c r="G60" s="9" t="s">
        <v>1034</v>
      </c>
      <c r="H60" s="5" t="s">
        <v>1035</v>
      </c>
      <c r="I60" s="5" t="s">
        <v>1036</v>
      </c>
      <c r="J60" s="9"/>
      <c r="K60" s="9" t="s">
        <v>586</v>
      </c>
      <c r="L60" s="9" t="s">
        <v>734</v>
      </c>
      <c r="M60" s="9" t="s">
        <v>65</v>
      </c>
      <c r="N60" s="9" t="s">
        <v>44</v>
      </c>
      <c r="O60" s="9" t="s">
        <v>341</v>
      </c>
      <c r="P60" s="9" t="s">
        <v>93</v>
      </c>
      <c r="Q60" s="9" t="s">
        <v>1037</v>
      </c>
      <c r="R60" s="10" t="s">
        <v>585</v>
      </c>
      <c r="S60" s="9"/>
      <c r="T60" s="9"/>
      <c r="U60" s="9"/>
      <c r="V60" s="9"/>
      <c r="W60" s="9"/>
      <c r="X60" s="5" t="s">
        <v>1038</v>
      </c>
      <c r="Y60" s="9" t="s">
        <v>63</v>
      </c>
      <c r="Z60" s="9"/>
      <c r="AA60" s="9" t="n">
        <v>2</v>
      </c>
      <c r="AB60" s="5" t="s">
        <v>587</v>
      </c>
    </row>
    <row r="61" customFormat="false" ht="68.65" hidden="false" customHeight="false" outlineLevel="0" collapsed="false">
      <c r="A61" s="9" t="s">
        <v>89</v>
      </c>
      <c r="B61" s="5" t="s">
        <v>90</v>
      </c>
      <c r="C61" s="9" t="s">
        <v>91</v>
      </c>
      <c r="D61" s="9" t="s">
        <v>92</v>
      </c>
      <c r="E61" s="9" t="s">
        <v>56</v>
      </c>
      <c r="F61" s="9" t="s">
        <v>56</v>
      </c>
      <c r="G61" s="9" t="s">
        <v>1064</v>
      </c>
      <c r="H61" s="5" t="s">
        <v>1065</v>
      </c>
      <c r="I61" s="5"/>
      <c r="J61" s="9"/>
      <c r="K61" s="9" t="s">
        <v>94</v>
      </c>
      <c r="L61" s="9"/>
      <c r="M61" s="9" t="s">
        <v>65</v>
      </c>
      <c r="N61" s="9" t="s">
        <v>44</v>
      </c>
      <c r="O61" s="9"/>
      <c r="P61" s="9" t="s">
        <v>93</v>
      </c>
      <c r="Q61" s="9"/>
      <c r="R61" s="9"/>
      <c r="S61" s="9"/>
      <c r="T61" s="9"/>
      <c r="U61" s="9"/>
      <c r="V61" s="9"/>
      <c r="W61" s="9"/>
      <c r="X61" s="5" t="s">
        <v>1066</v>
      </c>
      <c r="Y61" s="9" t="s">
        <v>64</v>
      </c>
      <c r="Z61" s="9"/>
      <c r="AA61" s="9" t="n">
        <v>2</v>
      </c>
      <c r="AB61" s="5" t="s">
        <v>95</v>
      </c>
    </row>
    <row r="62" customFormat="false" ht="68.65" hidden="false" customHeight="false" outlineLevel="0" collapsed="false">
      <c r="A62" s="9" t="s">
        <v>411</v>
      </c>
      <c r="B62" s="5" t="s">
        <v>412</v>
      </c>
      <c r="C62" s="9" t="s">
        <v>413</v>
      </c>
      <c r="D62" s="9" t="s">
        <v>92</v>
      </c>
      <c r="E62" s="9" t="s">
        <v>56</v>
      </c>
      <c r="F62" s="9" t="s">
        <v>56</v>
      </c>
      <c r="G62" s="9" t="s">
        <v>1034</v>
      </c>
      <c r="H62" s="5" t="s">
        <v>1039</v>
      </c>
      <c r="I62" s="5"/>
      <c r="J62" s="9"/>
      <c r="K62" s="9" t="s">
        <v>94</v>
      </c>
      <c r="L62" s="9"/>
      <c r="M62" s="9" t="s">
        <v>65</v>
      </c>
      <c r="N62" s="9" t="s">
        <v>44</v>
      </c>
      <c r="O62" s="9" t="s">
        <v>414</v>
      </c>
      <c r="P62" s="9" t="s">
        <v>93</v>
      </c>
      <c r="Q62" s="9"/>
      <c r="R62" s="9"/>
      <c r="S62" s="9"/>
      <c r="T62" s="9"/>
      <c r="U62" s="9"/>
      <c r="V62" s="9"/>
      <c r="W62" s="9"/>
      <c r="X62" s="5" t="s">
        <v>1040</v>
      </c>
      <c r="Y62" s="9" t="s">
        <v>64</v>
      </c>
      <c r="Z62" s="9"/>
      <c r="AA62" s="9" t="n">
        <v>1</v>
      </c>
      <c r="AB62" s="9" t="s">
        <v>415</v>
      </c>
    </row>
    <row r="63" customFormat="false" ht="57.45" hidden="false" customHeight="false" outlineLevel="0" collapsed="false">
      <c r="A63" s="9" t="s">
        <v>484</v>
      </c>
      <c r="B63" s="5" t="s">
        <v>485</v>
      </c>
      <c r="C63" s="9" t="s">
        <v>485</v>
      </c>
      <c r="D63" s="9" t="s">
        <v>92</v>
      </c>
      <c r="E63" s="9" t="s">
        <v>56</v>
      </c>
      <c r="F63" s="9" t="s">
        <v>56</v>
      </c>
      <c r="G63" s="9" t="s">
        <v>1034</v>
      </c>
      <c r="H63" s="5" t="s">
        <v>1041</v>
      </c>
      <c r="I63" s="5" t="s">
        <v>1042</v>
      </c>
      <c r="J63" s="9"/>
      <c r="K63" s="9" t="s">
        <v>488</v>
      </c>
      <c r="L63" s="9" t="s">
        <v>734</v>
      </c>
      <c r="M63" s="9" t="s">
        <v>65</v>
      </c>
      <c r="N63" s="9" t="s">
        <v>44</v>
      </c>
      <c r="O63" s="9" t="s">
        <v>487</v>
      </c>
      <c r="P63" s="9" t="s">
        <v>93</v>
      </c>
      <c r="Q63" s="9"/>
      <c r="R63" s="10" t="s">
        <v>486</v>
      </c>
      <c r="S63" s="9"/>
      <c r="T63" s="9"/>
      <c r="U63" s="9"/>
      <c r="V63" s="9"/>
      <c r="W63" s="9"/>
      <c r="X63" s="5" t="s">
        <v>1043</v>
      </c>
      <c r="Y63" s="9" t="s">
        <v>64</v>
      </c>
      <c r="Z63" s="9"/>
      <c r="AA63" s="9" t="n">
        <v>1</v>
      </c>
      <c r="AB63" s="9" t="s">
        <v>489</v>
      </c>
    </row>
    <row r="64" customFormat="false" ht="68.65" hidden="false" customHeight="false" outlineLevel="0" collapsed="false">
      <c r="A64" s="9" t="s">
        <v>502</v>
      </c>
      <c r="B64" s="5" t="s">
        <v>503</v>
      </c>
      <c r="C64" s="9" t="s">
        <v>504</v>
      </c>
      <c r="D64" s="9" t="s">
        <v>92</v>
      </c>
      <c r="E64" s="9" t="s">
        <v>56</v>
      </c>
      <c r="F64" s="9" t="s">
        <v>56</v>
      </c>
      <c r="G64" s="9" t="s">
        <v>1034</v>
      </c>
      <c r="H64" s="5" t="s">
        <v>1044</v>
      </c>
      <c r="I64" s="5"/>
      <c r="J64" s="9" t="s">
        <v>1045</v>
      </c>
      <c r="K64" s="9" t="s">
        <v>94</v>
      </c>
      <c r="L64" s="9" t="s">
        <v>1046</v>
      </c>
      <c r="M64" s="9" t="s">
        <v>65</v>
      </c>
      <c r="N64" s="9" t="s">
        <v>44</v>
      </c>
      <c r="O64" s="9"/>
      <c r="P64" s="9" t="s">
        <v>93</v>
      </c>
      <c r="Q64" s="9"/>
      <c r="R64" s="9"/>
      <c r="S64" s="9"/>
      <c r="T64" s="9"/>
      <c r="U64" s="9"/>
      <c r="V64" s="9"/>
      <c r="W64" s="9"/>
      <c r="X64" s="5" t="s">
        <v>1047</v>
      </c>
      <c r="Y64" s="9" t="s">
        <v>64</v>
      </c>
      <c r="Z64" s="9"/>
      <c r="AA64" s="9" t="n">
        <v>4</v>
      </c>
      <c r="AB64" s="5" t="s">
        <v>505</v>
      </c>
    </row>
    <row r="65" customFormat="false" ht="124.6" hidden="false" customHeight="false" outlineLevel="0" collapsed="false">
      <c r="A65" s="9" t="s">
        <v>464</v>
      </c>
      <c r="B65" s="5" t="s">
        <v>465</v>
      </c>
      <c r="C65" s="9" t="s">
        <v>466</v>
      </c>
      <c r="D65" s="9" t="s">
        <v>156</v>
      </c>
      <c r="E65" s="9" t="s">
        <v>56</v>
      </c>
      <c r="F65" s="9" t="s">
        <v>56</v>
      </c>
      <c r="G65" s="9" t="s">
        <v>1012</v>
      </c>
      <c r="H65" s="5" t="s">
        <v>1019</v>
      </c>
      <c r="I65" s="5"/>
      <c r="J65" s="9"/>
      <c r="K65" s="9" t="s">
        <v>468</v>
      </c>
      <c r="L65" s="9"/>
      <c r="M65" s="9" t="s">
        <v>65</v>
      </c>
      <c r="N65" s="9" t="s">
        <v>45</v>
      </c>
      <c r="O65" s="9" t="s">
        <v>467</v>
      </c>
      <c r="P65" s="9" t="s">
        <v>93</v>
      </c>
      <c r="Q65" s="9"/>
      <c r="R65" s="9"/>
      <c r="S65" s="9"/>
      <c r="T65" s="9"/>
      <c r="U65" s="9"/>
      <c r="V65" s="9" t="s">
        <v>469</v>
      </c>
      <c r="W65" s="9"/>
      <c r="X65" s="5" t="s">
        <v>1020</v>
      </c>
      <c r="Y65" s="9" t="s">
        <v>63</v>
      </c>
      <c r="Z65" s="9"/>
      <c r="AA65" s="9" t="n">
        <v>5</v>
      </c>
      <c r="AB65" s="5" t="s">
        <v>470</v>
      </c>
    </row>
    <row r="66" customFormat="false" ht="113.4" hidden="false" customHeight="false" outlineLevel="0" collapsed="false">
      <c r="A66" s="9" t="s">
        <v>405</v>
      </c>
      <c r="B66" s="5" t="s">
        <v>406</v>
      </c>
      <c r="C66" s="9" t="s">
        <v>407</v>
      </c>
      <c r="D66" s="9" t="s">
        <v>92</v>
      </c>
      <c r="E66" s="9" t="s">
        <v>56</v>
      </c>
      <c r="F66" s="9" t="s">
        <v>56</v>
      </c>
      <c r="G66" s="9" t="s">
        <v>1034</v>
      </c>
      <c r="H66" s="5" t="s">
        <v>1048</v>
      </c>
      <c r="I66" s="5" t="s">
        <v>838</v>
      </c>
      <c r="J66" s="9"/>
      <c r="K66" s="9" t="s">
        <v>409</v>
      </c>
      <c r="L66" s="9" t="s">
        <v>1049</v>
      </c>
      <c r="M66" s="9" t="s">
        <v>65</v>
      </c>
      <c r="N66" s="9" t="s">
        <v>46</v>
      </c>
      <c r="O66" s="9"/>
      <c r="P66" s="9" t="s">
        <v>93</v>
      </c>
      <c r="Q66" s="9"/>
      <c r="R66" s="10" t="s">
        <v>408</v>
      </c>
      <c r="S66" s="9"/>
      <c r="T66" s="9"/>
      <c r="U66" s="9"/>
      <c r="V66" s="9"/>
      <c r="W66" s="9"/>
      <c r="X66" s="5" t="s">
        <v>1050</v>
      </c>
      <c r="Y66" s="9" t="s">
        <v>64</v>
      </c>
      <c r="Z66" s="9"/>
      <c r="AA66" s="9" t="n">
        <v>5</v>
      </c>
      <c r="AB66" s="5" t="s">
        <v>410</v>
      </c>
    </row>
    <row r="67" customFormat="false" ht="46.25" hidden="false" customHeight="false" outlineLevel="0" collapsed="false">
      <c r="A67" s="9" t="s">
        <v>588</v>
      </c>
      <c r="B67" s="5" t="s">
        <v>589</v>
      </c>
      <c r="C67" s="9"/>
      <c r="D67" s="9" t="s">
        <v>92</v>
      </c>
      <c r="E67" s="9" t="s">
        <v>56</v>
      </c>
      <c r="F67" s="9" t="s">
        <v>56</v>
      </c>
      <c r="G67" s="9" t="s">
        <v>1034</v>
      </c>
      <c r="H67" s="5" t="s">
        <v>1051</v>
      </c>
      <c r="I67" s="5" t="s">
        <v>838</v>
      </c>
      <c r="J67" s="9"/>
      <c r="K67" s="9" t="s">
        <v>231</v>
      </c>
      <c r="L67" s="9" t="s">
        <v>1052</v>
      </c>
      <c r="M67" s="9" t="s">
        <v>65</v>
      </c>
      <c r="N67" s="9" t="s">
        <v>46</v>
      </c>
      <c r="O67" s="9"/>
      <c r="P67" s="9" t="s">
        <v>93</v>
      </c>
      <c r="Q67" s="9"/>
      <c r="R67" s="10" t="s">
        <v>590</v>
      </c>
      <c r="S67" s="9"/>
      <c r="T67" s="9"/>
      <c r="U67" s="9"/>
      <c r="V67" s="9"/>
      <c r="W67" s="9"/>
      <c r="X67" s="5" t="s">
        <v>1053</v>
      </c>
      <c r="Y67" s="9" t="s">
        <v>64</v>
      </c>
      <c r="Z67" s="9"/>
      <c r="AA67" s="9" t="n">
        <v>1</v>
      </c>
      <c r="AB67" s="9" t="s">
        <v>590</v>
      </c>
    </row>
    <row r="68" customFormat="false" ht="35.05" hidden="false" customHeight="false" outlineLevel="0" collapsed="false">
      <c r="A68" s="9" t="s">
        <v>318</v>
      </c>
      <c r="B68" s="5" t="s">
        <v>319</v>
      </c>
      <c r="C68" s="9"/>
      <c r="D68" s="9" t="s">
        <v>92</v>
      </c>
      <c r="E68" s="9" t="s">
        <v>56</v>
      </c>
      <c r="F68" s="9" t="s">
        <v>56</v>
      </c>
      <c r="G68" s="9" t="s">
        <v>1064</v>
      </c>
      <c r="H68" s="5" t="s">
        <v>1067</v>
      </c>
      <c r="I68" s="5"/>
      <c r="J68" s="9"/>
      <c r="K68" s="9" t="s">
        <v>321</v>
      </c>
      <c r="L68" s="9"/>
      <c r="M68" s="9" t="s">
        <v>65</v>
      </c>
      <c r="N68" s="9" t="s">
        <v>48</v>
      </c>
      <c r="O68" s="9" t="s">
        <v>320</v>
      </c>
      <c r="P68" s="9" t="s">
        <v>93</v>
      </c>
      <c r="Q68" s="9"/>
      <c r="R68" s="9"/>
      <c r="S68" s="9"/>
      <c r="T68" s="9"/>
      <c r="U68" s="9"/>
      <c r="V68" s="9"/>
      <c r="W68" s="9"/>
      <c r="X68" s="5" t="s">
        <v>1068</v>
      </c>
      <c r="Y68" s="9" t="s">
        <v>64</v>
      </c>
      <c r="Z68" s="9"/>
      <c r="AA68" s="9" t="n">
        <v>3</v>
      </c>
      <c r="AB68" s="5" t="s">
        <v>322</v>
      </c>
    </row>
    <row r="69" customFormat="false" ht="202.95" hidden="false" customHeight="false" outlineLevel="0" collapsed="false">
      <c r="A69" s="9" t="s">
        <v>398</v>
      </c>
      <c r="B69" s="5" t="s">
        <v>399</v>
      </c>
      <c r="C69" s="9" t="s">
        <v>400</v>
      </c>
      <c r="D69" s="9" t="s">
        <v>156</v>
      </c>
      <c r="E69" s="9" t="s">
        <v>56</v>
      </c>
      <c r="F69" s="9" t="s">
        <v>56</v>
      </c>
      <c r="G69" s="9" t="s">
        <v>1012</v>
      </c>
      <c r="H69" s="5" t="s">
        <v>1021</v>
      </c>
      <c r="I69" s="5" t="s">
        <v>1022</v>
      </c>
      <c r="J69" s="9" t="s">
        <v>1023</v>
      </c>
      <c r="K69" s="9" t="s">
        <v>114</v>
      </c>
      <c r="L69" s="9" t="s">
        <v>1024</v>
      </c>
      <c r="M69" s="9" t="s">
        <v>65</v>
      </c>
      <c r="N69" s="9" t="s">
        <v>50</v>
      </c>
      <c r="O69" s="9" t="s">
        <v>402</v>
      </c>
      <c r="P69" s="9" t="s">
        <v>93</v>
      </c>
      <c r="Q69" s="9" t="s">
        <v>1025</v>
      </c>
      <c r="R69" s="10" t="s">
        <v>1026</v>
      </c>
      <c r="S69" s="9"/>
      <c r="T69" s="9"/>
      <c r="U69" s="9"/>
      <c r="V69" s="9" t="s">
        <v>1027</v>
      </c>
      <c r="W69" s="9"/>
      <c r="X69" s="5" t="s">
        <v>1028</v>
      </c>
      <c r="Y69" s="9" t="s">
        <v>63</v>
      </c>
      <c r="Z69" s="9" t="s">
        <v>57</v>
      </c>
      <c r="AA69" s="9" t="n">
        <v>17</v>
      </c>
      <c r="AB69" s="5" t="s">
        <v>1029</v>
      </c>
    </row>
    <row r="70" customFormat="false" ht="46.25" hidden="false" customHeight="false" outlineLevel="0" collapsed="false">
      <c r="A70" s="9" t="s">
        <v>471</v>
      </c>
      <c r="B70" s="5" t="s">
        <v>360</v>
      </c>
      <c r="C70" s="9" t="s">
        <v>360</v>
      </c>
      <c r="D70" s="9" t="s">
        <v>92</v>
      </c>
      <c r="E70" s="9" t="s">
        <v>56</v>
      </c>
      <c r="F70" s="9" t="s">
        <v>56</v>
      </c>
      <c r="G70" s="9" t="s">
        <v>1012</v>
      </c>
      <c r="H70" s="5" t="s">
        <v>1030</v>
      </c>
      <c r="I70" s="5" t="s">
        <v>1031</v>
      </c>
      <c r="J70" s="9"/>
      <c r="K70" s="9" t="s">
        <v>114</v>
      </c>
      <c r="L70" s="9" t="s">
        <v>1032</v>
      </c>
      <c r="M70" s="9" t="s">
        <v>65</v>
      </c>
      <c r="N70" s="9" t="s">
        <v>51</v>
      </c>
      <c r="O70" s="9"/>
      <c r="P70" s="9"/>
      <c r="Q70" s="9"/>
      <c r="R70" s="10" t="s">
        <v>472</v>
      </c>
      <c r="S70" s="9"/>
      <c r="T70" s="9"/>
      <c r="U70" s="9"/>
      <c r="V70" s="9"/>
      <c r="W70" s="9"/>
      <c r="X70" s="5" t="s">
        <v>1033</v>
      </c>
      <c r="Y70" s="9" t="s">
        <v>63</v>
      </c>
      <c r="Z70" s="9"/>
      <c r="AA70" s="9" t="n">
        <v>1</v>
      </c>
      <c r="AB70" s="9" t="s">
        <v>473</v>
      </c>
    </row>
    <row r="71" customFormat="false" ht="46.25" hidden="false" customHeight="false" outlineLevel="0" collapsed="false">
      <c r="A71" s="9" t="s">
        <v>597</v>
      </c>
      <c r="B71" s="5" t="s">
        <v>598</v>
      </c>
      <c r="C71" s="9"/>
      <c r="D71" s="9" t="s">
        <v>92</v>
      </c>
      <c r="E71" s="9" t="s">
        <v>56</v>
      </c>
      <c r="F71" s="9" t="s">
        <v>56</v>
      </c>
      <c r="G71" s="9" t="s">
        <v>1034</v>
      </c>
      <c r="H71" s="5" t="s">
        <v>1054</v>
      </c>
      <c r="I71" s="5" t="s">
        <v>838</v>
      </c>
      <c r="J71" s="9"/>
      <c r="K71" s="9" t="s">
        <v>231</v>
      </c>
      <c r="L71" s="9" t="s">
        <v>1055</v>
      </c>
      <c r="M71" s="9" t="s">
        <v>66</v>
      </c>
      <c r="N71" s="9" t="s">
        <v>46</v>
      </c>
      <c r="O71" s="9"/>
      <c r="P71" s="9" t="s">
        <v>93</v>
      </c>
      <c r="Q71" s="9"/>
      <c r="R71" s="10" t="s">
        <v>599</v>
      </c>
      <c r="S71" s="9"/>
      <c r="T71" s="9"/>
      <c r="U71" s="9"/>
      <c r="V71" s="9"/>
      <c r="W71" s="9"/>
      <c r="X71" s="5" t="s">
        <v>1056</v>
      </c>
      <c r="Y71" s="9" t="s">
        <v>64</v>
      </c>
      <c r="Z71" s="9"/>
      <c r="AA71" s="9" t="n">
        <v>3</v>
      </c>
      <c r="AB71" s="5" t="s">
        <v>600</v>
      </c>
    </row>
    <row r="72" customFormat="false" ht="57.45" hidden="false" customHeight="false" outlineLevel="0" collapsed="false">
      <c r="A72" s="9" t="s">
        <v>452</v>
      </c>
      <c r="B72" s="5" t="s">
        <v>453</v>
      </c>
      <c r="C72" s="9" t="s">
        <v>453</v>
      </c>
      <c r="D72" s="9" t="s">
        <v>92</v>
      </c>
      <c r="E72" s="9" t="s">
        <v>56</v>
      </c>
      <c r="F72" s="9" t="s">
        <v>56</v>
      </c>
      <c r="G72" s="9" t="s">
        <v>1064</v>
      </c>
      <c r="H72" s="5" t="s">
        <v>1069</v>
      </c>
      <c r="I72" s="5"/>
      <c r="J72" s="9" t="s">
        <v>1070</v>
      </c>
      <c r="K72" s="9" t="s">
        <v>455</v>
      </c>
      <c r="L72" s="9" t="s">
        <v>1071</v>
      </c>
      <c r="M72" s="9" t="s">
        <v>66</v>
      </c>
      <c r="N72" s="9" t="s">
        <v>50</v>
      </c>
      <c r="O72" s="9" t="s">
        <v>113</v>
      </c>
      <c r="P72" s="9" t="s">
        <v>93</v>
      </c>
      <c r="Q72" s="9"/>
      <c r="R72" s="10" t="s">
        <v>454</v>
      </c>
      <c r="S72" s="9"/>
      <c r="T72" s="9"/>
      <c r="U72" s="9"/>
      <c r="V72" s="9" t="s">
        <v>151</v>
      </c>
      <c r="W72" s="9"/>
      <c r="X72" s="5" t="s">
        <v>1072</v>
      </c>
      <c r="Y72" s="9" t="s">
        <v>64</v>
      </c>
      <c r="Z72" s="9"/>
      <c r="AA72" s="9" t="n">
        <v>1</v>
      </c>
      <c r="AB72" s="9" t="s">
        <v>456</v>
      </c>
    </row>
    <row r="73" customFormat="false" ht="79.85" hidden="false" customHeight="false" outlineLevel="0" collapsed="false">
      <c r="A73" s="9" t="s">
        <v>330</v>
      </c>
      <c r="B73" s="5" t="s">
        <v>331</v>
      </c>
      <c r="C73" s="9" t="s">
        <v>331</v>
      </c>
      <c r="D73" s="9" t="s">
        <v>92</v>
      </c>
      <c r="E73" s="9" t="s">
        <v>56</v>
      </c>
      <c r="F73" s="9" t="s">
        <v>56</v>
      </c>
      <c r="G73" s="9" t="s">
        <v>1034</v>
      </c>
      <c r="H73" s="5" t="s">
        <v>1057</v>
      </c>
      <c r="I73" s="5"/>
      <c r="J73" s="9"/>
      <c r="K73" s="9" t="s">
        <v>114</v>
      </c>
      <c r="L73" s="9"/>
      <c r="M73" s="9" t="s">
        <v>67</v>
      </c>
      <c r="N73" s="9" t="s">
        <v>44</v>
      </c>
      <c r="O73" s="9"/>
      <c r="P73" s="9" t="s">
        <v>93</v>
      </c>
      <c r="Q73" s="9"/>
      <c r="R73" s="9"/>
      <c r="S73" s="9"/>
      <c r="T73" s="9"/>
      <c r="U73" s="9"/>
      <c r="V73" s="9" t="s">
        <v>1058</v>
      </c>
      <c r="W73" s="9"/>
      <c r="X73" s="5" t="s">
        <v>1059</v>
      </c>
      <c r="Y73" s="9" t="s">
        <v>64</v>
      </c>
      <c r="Z73" s="9" t="s">
        <v>57</v>
      </c>
      <c r="AA73" s="9" t="n">
        <v>4</v>
      </c>
      <c r="AB73" s="5" t="s">
        <v>1060</v>
      </c>
    </row>
    <row r="74" customFormat="false" ht="57.45" hidden="false" customHeight="false" outlineLevel="0" collapsed="false">
      <c r="A74" s="9" t="s">
        <v>358</v>
      </c>
      <c r="B74" s="5" t="s">
        <v>359</v>
      </c>
      <c r="C74" s="9" t="s">
        <v>360</v>
      </c>
      <c r="D74" s="9" t="s">
        <v>92</v>
      </c>
      <c r="E74" s="9" t="s">
        <v>56</v>
      </c>
      <c r="F74" s="9" t="s">
        <v>56</v>
      </c>
      <c r="G74" s="9" t="s">
        <v>1034</v>
      </c>
      <c r="H74" s="5" t="s">
        <v>1061</v>
      </c>
      <c r="I74" s="5"/>
      <c r="J74" s="9"/>
      <c r="K74" s="9" t="s">
        <v>114</v>
      </c>
      <c r="L74" s="9"/>
      <c r="M74" s="9" t="s">
        <v>67</v>
      </c>
      <c r="N74" s="9" t="s">
        <v>44</v>
      </c>
      <c r="O74" s="9"/>
      <c r="P74" s="9" t="s">
        <v>93</v>
      </c>
      <c r="Q74" s="9" t="s">
        <v>1062</v>
      </c>
      <c r="R74" s="9"/>
      <c r="S74" s="9"/>
      <c r="T74" s="9"/>
      <c r="U74" s="9"/>
      <c r="V74" s="9"/>
      <c r="W74" s="9"/>
      <c r="X74" s="5" t="s">
        <v>1063</v>
      </c>
      <c r="Y74" s="9" t="s">
        <v>64</v>
      </c>
      <c r="Z74" s="9"/>
      <c r="AA74" s="9" t="n">
        <v>1</v>
      </c>
      <c r="AB74" s="9" t="s">
        <v>361</v>
      </c>
    </row>
    <row r="75" customFormat="false" ht="46.25" hidden="false" customHeight="false" outlineLevel="0" collapsed="false">
      <c r="A75" s="9" t="s">
        <v>228</v>
      </c>
      <c r="B75" s="5" t="s">
        <v>229</v>
      </c>
      <c r="C75" s="9"/>
      <c r="D75" s="9" t="s">
        <v>92</v>
      </c>
      <c r="E75" s="9" t="s">
        <v>56</v>
      </c>
      <c r="F75" s="9" t="s">
        <v>56</v>
      </c>
      <c r="G75" s="9" t="s">
        <v>1064</v>
      </c>
      <c r="H75" s="5" t="s">
        <v>1073</v>
      </c>
      <c r="I75" s="5" t="s">
        <v>838</v>
      </c>
      <c r="J75" s="9"/>
      <c r="K75" s="9" t="s">
        <v>231</v>
      </c>
      <c r="L75" s="9"/>
      <c r="M75" s="9" t="s">
        <v>67</v>
      </c>
      <c r="N75" s="9" t="s">
        <v>46</v>
      </c>
      <c r="O75" s="9"/>
      <c r="P75" s="9" t="s">
        <v>93</v>
      </c>
      <c r="Q75" s="9"/>
      <c r="R75" s="10" t="s">
        <v>230</v>
      </c>
      <c r="S75" s="9"/>
      <c r="T75" s="9"/>
      <c r="U75" s="9"/>
      <c r="V75" s="9"/>
      <c r="W75" s="9"/>
      <c r="X75" s="5" t="s">
        <v>1074</v>
      </c>
      <c r="Y75" s="9" t="s">
        <v>64</v>
      </c>
      <c r="Z75" s="9"/>
      <c r="AA75" s="9" t="n">
        <v>1</v>
      </c>
      <c r="AB75" s="9" t="s">
        <v>232</v>
      </c>
    </row>
    <row r="76" customFormat="false" ht="68.65" hidden="false" customHeight="false" outlineLevel="0" collapsed="false">
      <c r="A76" s="9" t="s">
        <v>437</v>
      </c>
      <c r="B76" s="5" t="s">
        <v>438</v>
      </c>
      <c r="C76" s="9"/>
      <c r="D76" s="9" t="s">
        <v>156</v>
      </c>
      <c r="E76" s="9" t="s">
        <v>56</v>
      </c>
      <c r="F76" s="9" t="s">
        <v>56</v>
      </c>
      <c r="G76" s="9" t="s">
        <v>1064</v>
      </c>
      <c r="H76" s="5" t="s">
        <v>1075</v>
      </c>
      <c r="I76" s="5" t="s">
        <v>838</v>
      </c>
      <c r="J76" s="9"/>
      <c r="K76" s="9" t="s">
        <v>440</v>
      </c>
      <c r="L76" s="9"/>
      <c r="M76" s="9" t="s">
        <v>67</v>
      </c>
      <c r="N76" s="9" t="s">
        <v>46</v>
      </c>
      <c r="O76" s="9"/>
      <c r="P76" s="9" t="s">
        <v>93</v>
      </c>
      <c r="Q76" s="9"/>
      <c r="R76" s="10" t="s">
        <v>439</v>
      </c>
      <c r="S76" s="9"/>
      <c r="T76" s="9"/>
      <c r="U76" s="9"/>
      <c r="V76" s="9"/>
      <c r="W76" s="9"/>
      <c r="X76" s="5" t="s">
        <v>1076</v>
      </c>
      <c r="Y76" s="9" t="s">
        <v>64</v>
      </c>
      <c r="Z76" s="9"/>
      <c r="AA76" s="9" t="n">
        <v>3</v>
      </c>
      <c r="AB76" s="5" t="s">
        <v>441</v>
      </c>
    </row>
    <row r="77" customFormat="false" ht="46.25" hidden="false" customHeight="false" outlineLevel="0" collapsed="false">
      <c r="A77" s="9" t="s">
        <v>480</v>
      </c>
      <c r="B77" s="5" t="s">
        <v>481</v>
      </c>
      <c r="C77" s="9"/>
      <c r="D77" s="9" t="s">
        <v>92</v>
      </c>
      <c r="E77" s="9" t="s">
        <v>56</v>
      </c>
      <c r="F77" s="9" t="s">
        <v>56</v>
      </c>
      <c r="G77" s="9" t="s">
        <v>1064</v>
      </c>
      <c r="H77" s="5" t="s">
        <v>1077</v>
      </c>
      <c r="I77" s="5" t="s">
        <v>838</v>
      </c>
      <c r="J77" s="9"/>
      <c r="K77" s="9" t="s">
        <v>231</v>
      </c>
      <c r="L77" s="9"/>
      <c r="M77" s="9" t="s">
        <v>67</v>
      </c>
      <c r="N77" s="9" t="s">
        <v>46</v>
      </c>
      <c r="O77" s="9" t="s">
        <v>482</v>
      </c>
      <c r="P77" s="9" t="s">
        <v>93</v>
      </c>
      <c r="Q77" s="9"/>
      <c r="R77" s="9"/>
      <c r="S77" s="9"/>
      <c r="T77" s="9"/>
      <c r="U77" s="9"/>
      <c r="V77" s="9"/>
      <c r="W77" s="9"/>
      <c r="X77" s="5" t="s">
        <v>1078</v>
      </c>
      <c r="Y77" s="9" t="s">
        <v>64</v>
      </c>
      <c r="Z77" s="9"/>
      <c r="AA77" s="9" t="n">
        <v>1</v>
      </c>
      <c r="AB77" s="9" t="s">
        <v>483</v>
      </c>
    </row>
    <row r="78" customFormat="false" ht="35.05" hidden="false" customHeight="false" outlineLevel="0" collapsed="false">
      <c r="A78" s="9" t="s">
        <v>109</v>
      </c>
      <c r="B78" s="5" t="s">
        <v>110</v>
      </c>
      <c r="C78" s="9" t="s">
        <v>111</v>
      </c>
      <c r="D78" s="9" t="s">
        <v>92</v>
      </c>
      <c r="E78" s="9" t="s">
        <v>57</v>
      </c>
      <c r="F78" s="9" t="s">
        <v>57</v>
      </c>
      <c r="G78" s="9" t="s">
        <v>1115</v>
      </c>
      <c r="H78" s="5" t="s">
        <v>1116</v>
      </c>
      <c r="I78" s="5" t="s">
        <v>1117</v>
      </c>
      <c r="J78" s="9" t="s">
        <v>1118</v>
      </c>
      <c r="K78" s="9" t="s">
        <v>114</v>
      </c>
      <c r="L78" s="9" t="s">
        <v>734</v>
      </c>
      <c r="M78" s="9" t="s">
        <v>65</v>
      </c>
      <c r="N78" s="9" t="s">
        <v>44</v>
      </c>
      <c r="O78" s="9" t="s">
        <v>113</v>
      </c>
      <c r="P78" s="9" t="s">
        <v>93</v>
      </c>
      <c r="Q78" s="9" t="s">
        <v>1119</v>
      </c>
      <c r="R78" s="10" t="s">
        <v>112</v>
      </c>
      <c r="S78" s="9"/>
      <c r="T78" s="9"/>
      <c r="U78" s="9"/>
      <c r="V78" s="9" t="s">
        <v>115</v>
      </c>
      <c r="W78" s="9"/>
      <c r="X78" s="5" t="s">
        <v>1120</v>
      </c>
      <c r="Y78" s="9" t="s">
        <v>63</v>
      </c>
      <c r="Z78" s="9"/>
      <c r="AA78" s="9" t="n">
        <v>3</v>
      </c>
      <c r="AB78" s="5" t="s">
        <v>116</v>
      </c>
    </row>
    <row r="79" customFormat="false" ht="35.05" hidden="false" customHeight="false" outlineLevel="0" collapsed="false">
      <c r="A79" s="9" t="s">
        <v>153</v>
      </c>
      <c r="B79" s="5" t="s">
        <v>154</v>
      </c>
      <c r="C79" s="9" t="s">
        <v>155</v>
      </c>
      <c r="D79" s="9" t="s">
        <v>156</v>
      </c>
      <c r="E79" s="9" t="s">
        <v>57</v>
      </c>
      <c r="F79" s="9" t="s">
        <v>57</v>
      </c>
      <c r="G79" s="9" t="s">
        <v>1125</v>
      </c>
      <c r="H79" s="5" t="s">
        <v>1126</v>
      </c>
      <c r="I79" s="5" t="s">
        <v>1127</v>
      </c>
      <c r="J79" s="9"/>
      <c r="K79" s="9" t="s">
        <v>114</v>
      </c>
      <c r="L79" s="9"/>
      <c r="M79" s="9" t="s">
        <v>65</v>
      </c>
      <c r="N79" s="9" t="s">
        <v>44</v>
      </c>
      <c r="O79" s="9" t="s">
        <v>157</v>
      </c>
      <c r="P79" s="9" t="s">
        <v>93</v>
      </c>
      <c r="Q79" s="9" t="s">
        <v>1128</v>
      </c>
      <c r="R79" s="10" t="s">
        <v>148</v>
      </c>
      <c r="S79" s="9"/>
      <c r="T79" s="9" t="s">
        <v>159</v>
      </c>
      <c r="U79" s="9"/>
      <c r="V79" s="9" t="s">
        <v>158</v>
      </c>
      <c r="W79" s="9"/>
      <c r="X79" s="5" t="s">
        <v>1129</v>
      </c>
      <c r="Y79" s="9" t="s">
        <v>63</v>
      </c>
      <c r="Z79" s="9"/>
      <c r="AA79" s="9" t="n">
        <v>4</v>
      </c>
      <c r="AB79" s="5" t="s">
        <v>160</v>
      </c>
    </row>
    <row r="80" customFormat="false" ht="35.05" hidden="false" customHeight="false" outlineLevel="0" collapsed="false">
      <c r="A80" s="9" t="s">
        <v>283</v>
      </c>
      <c r="B80" s="5" t="s">
        <v>284</v>
      </c>
      <c r="C80" s="9" t="s">
        <v>285</v>
      </c>
      <c r="D80" s="9" t="s">
        <v>92</v>
      </c>
      <c r="E80" s="9" t="s">
        <v>57</v>
      </c>
      <c r="F80" s="9" t="s">
        <v>57</v>
      </c>
      <c r="G80" s="9" t="s">
        <v>1080</v>
      </c>
      <c r="H80" s="5" t="s">
        <v>1081</v>
      </c>
      <c r="I80" s="5"/>
      <c r="J80" s="9" t="s">
        <v>1082</v>
      </c>
      <c r="K80" s="9" t="s">
        <v>114</v>
      </c>
      <c r="L80" s="9" t="s">
        <v>734</v>
      </c>
      <c r="M80" s="9" t="s">
        <v>65</v>
      </c>
      <c r="N80" s="9" t="s">
        <v>50</v>
      </c>
      <c r="O80" s="9" t="s">
        <v>287</v>
      </c>
      <c r="P80" s="9" t="s">
        <v>150</v>
      </c>
      <c r="Q80" s="9"/>
      <c r="R80" s="10" t="s">
        <v>286</v>
      </c>
      <c r="S80" s="9"/>
      <c r="T80" s="9"/>
      <c r="U80" s="9"/>
      <c r="V80" s="9" t="s">
        <v>288</v>
      </c>
      <c r="W80" s="9"/>
      <c r="X80" s="5" t="s">
        <v>1083</v>
      </c>
      <c r="Y80" s="9" t="s">
        <v>63</v>
      </c>
      <c r="Z80" s="9"/>
      <c r="AA80" s="9" t="n">
        <v>1</v>
      </c>
      <c r="AB80" s="9" t="s">
        <v>289</v>
      </c>
    </row>
    <row r="81" customFormat="false" ht="35.05" hidden="false" customHeight="false" outlineLevel="0" collapsed="false">
      <c r="A81" s="9" t="s">
        <v>398</v>
      </c>
      <c r="B81" s="5" t="s">
        <v>399</v>
      </c>
      <c r="C81" s="9" t="s">
        <v>400</v>
      </c>
      <c r="D81" s="9" t="s">
        <v>92</v>
      </c>
      <c r="E81" s="9" t="s">
        <v>57</v>
      </c>
      <c r="F81" s="9" t="s">
        <v>57</v>
      </c>
      <c r="G81" s="9" t="s">
        <v>1125</v>
      </c>
      <c r="H81" s="5" t="s">
        <v>1130</v>
      </c>
      <c r="I81" s="5" t="s">
        <v>1131</v>
      </c>
      <c r="J81" s="9" t="s">
        <v>1132</v>
      </c>
      <c r="K81" s="9" t="s">
        <v>114</v>
      </c>
      <c r="L81" s="9"/>
      <c r="M81" s="9" t="s">
        <v>65</v>
      </c>
      <c r="N81" s="9" t="s">
        <v>50</v>
      </c>
      <c r="O81" s="9" t="s">
        <v>402</v>
      </c>
      <c r="P81" s="9" t="s">
        <v>93</v>
      </c>
      <c r="Q81" s="9" t="s">
        <v>1133</v>
      </c>
      <c r="R81" s="10" t="s">
        <v>401</v>
      </c>
      <c r="S81" s="9"/>
      <c r="T81" s="9"/>
      <c r="U81" s="9"/>
      <c r="V81" s="9" t="s">
        <v>1134</v>
      </c>
      <c r="W81" s="9"/>
      <c r="X81" s="5" t="s">
        <v>1135</v>
      </c>
      <c r="Y81" s="9" t="s">
        <v>63</v>
      </c>
      <c r="Z81" s="9" t="s">
        <v>56</v>
      </c>
      <c r="AA81" s="9" t="n">
        <v>4</v>
      </c>
      <c r="AB81" s="5" t="s">
        <v>1136</v>
      </c>
    </row>
    <row r="82" customFormat="false" ht="23.85" hidden="false" customHeight="false" outlineLevel="0" collapsed="false">
      <c r="A82" s="9" t="s">
        <v>506</v>
      </c>
      <c r="B82" s="5" t="s">
        <v>507</v>
      </c>
      <c r="C82" s="9" t="s">
        <v>508</v>
      </c>
      <c r="D82" s="9" t="s">
        <v>92</v>
      </c>
      <c r="E82" s="9" t="s">
        <v>57</v>
      </c>
      <c r="F82" s="9" t="s">
        <v>57</v>
      </c>
      <c r="G82" s="9" t="s">
        <v>1148</v>
      </c>
      <c r="H82" s="5" t="s">
        <v>1149</v>
      </c>
      <c r="I82" s="5" t="s">
        <v>1150</v>
      </c>
      <c r="J82" s="9"/>
      <c r="K82" s="9" t="s">
        <v>510</v>
      </c>
      <c r="L82" s="9" t="s">
        <v>734</v>
      </c>
      <c r="M82" s="9" t="s">
        <v>65</v>
      </c>
      <c r="N82" s="9" t="s">
        <v>50</v>
      </c>
      <c r="O82" s="9" t="s">
        <v>509</v>
      </c>
      <c r="P82" s="9" t="s">
        <v>93</v>
      </c>
      <c r="Q82" s="9"/>
      <c r="R82" s="9"/>
      <c r="S82" s="9"/>
      <c r="T82" s="9"/>
      <c r="U82" s="9"/>
      <c r="V82" s="9"/>
      <c r="W82" s="9"/>
      <c r="X82" s="5" t="s">
        <v>1151</v>
      </c>
      <c r="Y82" s="9" t="s">
        <v>64</v>
      </c>
      <c r="Z82" s="9"/>
      <c r="AA82" s="9" t="n">
        <v>1</v>
      </c>
      <c r="AB82" s="9" t="s">
        <v>511</v>
      </c>
    </row>
    <row r="83" customFormat="false" ht="46.25" hidden="false" customHeight="false" outlineLevel="0" collapsed="false">
      <c r="A83" s="9" t="s">
        <v>145</v>
      </c>
      <c r="B83" s="5" t="s">
        <v>146</v>
      </c>
      <c r="C83" s="9" t="s">
        <v>147</v>
      </c>
      <c r="D83" s="9" t="s">
        <v>92</v>
      </c>
      <c r="E83" s="9" t="s">
        <v>57</v>
      </c>
      <c r="F83" s="9" t="s">
        <v>57</v>
      </c>
      <c r="G83" s="9" t="s">
        <v>1080</v>
      </c>
      <c r="H83" s="5" t="s">
        <v>1084</v>
      </c>
      <c r="I83" s="5" t="s">
        <v>1085</v>
      </c>
      <c r="J83" s="9"/>
      <c r="K83" s="9" t="s">
        <v>114</v>
      </c>
      <c r="L83" s="9" t="s">
        <v>1086</v>
      </c>
      <c r="M83" s="9" t="s">
        <v>65</v>
      </c>
      <c r="N83" s="9" t="s">
        <v>51</v>
      </c>
      <c r="O83" s="9" t="s">
        <v>149</v>
      </c>
      <c r="P83" s="9" t="s">
        <v>150</v>
      </c>
      <c r="Q83" s="9"/>
      <c r="R83" s="10" t="s">
        <v>148</v>
      </c>
      <c r="S83" s="9"/>
      <c r="T83" s="9"/>
      <c r="U83" s="9"/>
      <c r="V83" s="9" t="s">
        <v>151</v>
      </c>
      <c r="W83" s="9"/>
      <c r="X83" s="5" t="s">
        <v>1087</v>
      </c>
      <c r="Y83" s="9" t="s">
        <v>63</v>
      </c>
      <c r="Z83" s="9"/>
      <c r="AA83" s="9" t="n">
        <v>3</v>
      </c>
      <c r="AB83" s="5" t="s">
        <v>152</v>
      </c>
    </row>
    <row r="84" customFormat="false" ht="57.45" hidden="false" customHeight="false" outlineLevel="0" collapsed="false">
      <c r="A84" s="9" t="s">
        <v>166</v>
      </c>
      <c r="B84" s="5" t="s">
        <v>167</v>
      </c>
      <c r="C84" s="9" t="s">
        <v>168</v>
      </c>
      <c r="D84" s="9" t="s">
        <v>92</v>
      </c>
      <c r="E84" s="9" t="s">
        <v>57</v>
      </c>
      <c r="F84" s="9" t="s">
        <v>57</v>
      </c>
      <c r="G84" s="9" t="s">
        <v>1080</v>
      </c>
      <c r="H84" s="5" t="s">
        <v>1088</v>
      </c>
      <c r="I84" s="5" t="s">
        <v>1089</v>
      </c>
      <c r="J84" s="9" t="s">
        <v>1090</v>
      </c>
      <c r="K84" s="9" t="s">
        <v>114</v>
      </c>
      <c r="L84" s="9" t="s">
        <v>1091</v>
      </c>
      <c r="M84" s="9" t="s">
        <v>65</v>
      </c>
      <c r="N84" s="9" t="s">
        <v>51</v>
      </c>
      <c r="O84" s="9" t="s">
        <v>170</v>
      </c>
      <c r="P84" s="9" t="s">
        <v>121</v>
      </c>
      <c r="Q84" s="9"/>
      <c r="R84" s="10" t="s">
        <v>169</v>
      </c>
      <c r="S84" s="9"/>
      <c r="T84" s="9"/>
      <c r="U84" s="9"/>
      <c r="V84" s="9" t="s">
        <v>171</v>
      </c>
      <c r="W84" s="9"/>
      <c r="X84" s="5" t="s">
        <v>1092</v>
      </c>
      <c r="Y84" s="9" t="s">
        <v>63</v>
      </c>
      <c r="Z84" s="9"/>
      <c r="AA84" s="9" t="n">
        <v>5</v>
      </c>
      <c r="AB84" s="5" t="s">
        <v>172</v>
      </c>
    </row>
    <row r="85" customFormat="false" ht="46.25" hidden="false" customHeight="false" outlineLevel="0" collapsed="false">
      <c r="A85" s="9" t="s">
        <v>208</v>
      </c>
      <c r="B85" s="5" t="s">
        <v>209</v>
      </c>
      <c r="C85" s="9" t="s">
        <v>210</v>
      </c>
      <c r="D85" s="9" t="s">
        <v>92</v>
      </c>
      <c r="E85" s="9" t="s">
        <v>57</v>
      </c>
      <c r="F85" s="9" t="s">
        <v>57</v>
      </c>
      <c r="G85" s="9" t="s">
        <v>1080</v>
      </c>
      <c r="H85" s="5" t="s">
        <v>1093</v>
      </c>
      <c r="I85" s="5" t="s">
        <v>1094</v>
      </c>
      <c r="J85" s="9" t="s">
        <v>1095</v>
      </c>
      <c r="K85" s="9" t="s">
        <v>114</v>
      </c>
      <c r="L85" s="9" t="s">
        <v>1096</v>
      </c>
      <c r="M85" s="9" t="s">
        <v>65</v>
      </c>
      <c r="N85" s="9" t="s">
        <v>51</v>
      </c>
      <c r="O85" s="9"/>
      <c r="P85" s="9"/>
      <c r="Q85" s="9"/>
      <c r="R85" s="9"/>
      <c r="S85" s="9"/>
      <c r="T85" s="9"/>
      <c r="U85" s="9"/>
      <c r="V85" s="9"/>
      <c r="W85" s="9"/>
      <c r="X85" s="5" t="s">
        <v>1097</v>
      </c>
      <c r="Y85" s="9" t="s">
        <v>63</v>
      </c>
      <c r="Z85" s="9"/>
      <c r="AA85" s="9" t="n">
        <v>3</v>
      </c>
      <c r="AB85" s="5" t="s">
        <v>211</v>
      </c>
    </row>
    <row r="86" customFormat="false" ht="57.45" hidden="false" customHeight="false" outlineLevel="0" collapsed="false">
      <c r="A86" s="9" t="s">
        <v>212</v>
      </c>
      <c r="B86" s="5" t="s">
        <v>213</v>
      </c>
      <c r="C86" s="9" t="s">
        <v>213</v>
      </c>
      <c r="D86" s="9" t="s">
        <v>92</v>
      </c>
      <c r="E86" s="9" t="s">
        <v>57</v>
      </c>
      <c r="F86" s="9" t="s">
        <v>57</v>
      </c>
      <c r="G86" s="9" t="s">
        <v>1080</v>
      </c>
      <c r="H86" s="5" t="s">
        <v>1098</v>
      </c>
      <c r="I86" s="5" t="s">
        <v>1094</v>
      </c>
      <c r="J86" s="9"/>
      <c r="K86" s="9" t="s">
        <v>114</v>
      </c>
      <c r="L86" s="9" t="s">
        <v>1099</v>
      </c>
      <c r="M86" s="9" t="s">
        <v>65</v>
      </c>
      <c r="N86" s="9" t="s">
        <v>51</v>
      </c>
      <c r="O86" s="9"/>
      <c r="P86" s="9" t="s">
        <v>121</v>
      </c>
      <c r="Q86" s="9"/>
      <c r="R86" s="9"/>
      <c r="S86" s="9"/>
      <c r="T86" s="9"/>
      <c r="U86" s="9"/>
      <c r="V86" s="9"/>
      <c r="W86" s="9"/>
      <c r="X86" s="5" t="s">
        <v>1100</v>
      </c>
      <c r="Y86" s="9" t="s">
        <v>63</v>
      </c>
      <c r="Z86" s="9"/>
      <c r="AA86" s="9" t="n">
        <v>3</v>
      </c>
      <c r="AB86" s="5" t="s">
        <v>214</v>
      </c>
    </row>
    <row r="87" customFormat="false" ht="57.45" hidden="false" customHeight="false" outlineLevel="0" collapsed="false">
      <c r="A87" s="9" t="s">
        <v>290</v>
      </c>
      <c r="B87" s="5" t="s">
        <v>291</v>
      </c>
      <c r="C87" s="9" t="s">
        <v>292</v>
      </c>
      <c r="D87" s="9" t="s">
        <v>92</v>
      </c>
      <c r="E87" s="9" t="s">
        <v>57</v>
      </c>
      <c r="F87" s="9" t="s">
        <v>57</v>
      </c>
      <c r="G87" s="9" t="s">
        <v>1080</v>
      </c>
      <c r="H87" s="5" t="s">
        <v>1101</v>
      </c>
      <c r="I87" s="5" t="s">
        <v>1094</v>
      </c>
      <c r="J87" s="9"/>
      <c r="K87" s="9" t="s">
        <v>114</v>
      </c>
      <c r="L87" s="9" t="s">
        <v>734</v>
      </c>
      <c r="M87" s="9" t="s">
        <v>65</v>
      </c>
      <c r="N87" s="9" t="s">
        <v>51</v>
      </c>
      <c r="O87" s="9"/>
      <c r="P87" s="9"/>
      <c r="Q87" s="9"/>
      <c r="R87" s="9"/>
      <c r="S87" s="9"/>
      <c r="T87" s="9"/>
      <c r="U87" s="9"/>
      <c r="V87" s="9"/>
      <c r="W87" s="9"/>
      <c r="X87" s="5" t="s">
        <v>1102</v>
      </c>
      <c r="Y87" s="9" t="s">
        <v>63</v>
      </c>
      <c r="Z87" s="9"/>
      <c r="AA87" s="9" t="n">
        <v>4</v>
      </c>
      <c r="AB87" s="5" t="s">
        <v>293</v>
      </c>
    </row>
    <row r="88" customFormat="false" ht="57.45" hidden="false" customHeight="false" outlineLevel="0" collapsed="false">
      <c r="A88" s="9" t="s">
        <v>294</v>
      </c>
      <c r="B88" s="5" t="s">
        <v>295</v>
      </c>
      <c r="C88" s="9" t="s">
        <v>296</v>
      </c>
      <c r="D88" s="9" t="s">
        <v>156</v>
      </c>
      <c r="E88" s="9" t="s">
        <v>57</v>
      </c>
      <c r="F88" s="9" t="s">
        <v>57</v>
      </c>
      <c r="G88" s="9" t="s">
        <v>1125</v>
      </c>
      <c r="H88" s="5" t="s">
        <v>1137</v>
      </c>
      <c r="I88" s="5" t="s">
        <v>1138</v>
      </c>
      <c r="J88" s="9"/>
      <c r="K88" s="9" t="s">
        <v>114</v>
      </c>
      <c r="L88" s="9" t="s">
        <v>1139</v>
      </c>
      <c r="M88" s="9" t="s">
        <v>65</v>
      </c>
      <c r="N88" s="9" t="s">
        <v>51</v>
      </c>
      <c r="O88" s="9" t="s">
        <v>298</v>
      </c>
      <c r="P88" s="9" t="s">
        <v>299</v>
      </c>
      <c r="Q88" s="9"/>
      <c r="R88" s="10" t="s">
        <v>297</v>
      </c>
      <c r="S88" s="9"/>
      <c r="T88" s="9"/>
      <c r="U88" s="9"/>
      <c r="V88" s="9"/>
      <c r="W88" s="9"/>
      <c r="X88" s="5" t="s">
        <v>1140</v>
      </c>
      <c r="Y88" s="9" t="s">
        <v>63</v>
      </c>
      <c r="Z88" s="9"/>
      <c r="AA88" s="9" t="n">
        <v>4</v>
      </c>
      <c r="AB88" s="5" t="s">
        <v>300</v>
      </c>
    </row>
    <row r="89" customFormat="false" ht="46.25" hidden="false" customHeight="false" outlineLevel="0" collapsed="false">
      <c r="A89" s="9" t="s">
        <v>382</v>
      </c>
      <c r="B89" s="5" t="s">
        <v>383</v>
      </c>
      <c r="C89" s="9" t="s">
        <v>384</v>
      </c>
      <c r="D89" s="9" t="s">
        <v>156</v>
      </c>
      <c r="E89" s="9" t="s">
        <v>57</v>
      </c>
      <c r="F89" s="9" t="s">
        <v>57</v>
      </c>
      <c r="G89" s="9" t="s">
        <v>1125</v>
      </c>
      <c r="H89" s="5" t="s">
        <v>1141</v>
      </c>
      <c r="I89" s="5" t="s">
        <v>1142</v>
      </c>
      <c r="J89" s="9"/>
      <c r="K89" s="9" t="s">
        <v>114</v>
      </c>
      <c r="L89" s="9" t="s">
        <v>734</v>
      </c>
      <c r="M89" s="9" t="s">
        <v>65</v>
      </c>
      <c r="N89" s="9" t="s">
        <v>51</v>
      </c>
      <c r="O89" s="9" t="s">
        <v>386</v>
      </c>
      <c r="P89" s="9" t="s">
        <v>387</v>
      </c>
      <c r="Q89" s="9"/>
      <c r="R89" s="10" t="s">
        <v>385</v>
      </c>
      <c r="S89" s="9"/>
      <c r="T89" s="9"/>
      <c r="U89" s="9" t="s">
        <v>389</v>
      </c>
      <c r="V89" s="9" t="s">
        <v>388</v>
      </c>
      <c r="W89" s="9"/>
      <c r="X89" s="5" t="s">
        <v>1143</v>
      </c>
      <c r="Y89" s="9" t="s">
        <v>63</v>
      </c>
      <c r="Z89" s="9"/>
      <c r="AA89" s="9" t="n">
        <v>4</v>
      </c>
      <c r="AB89" s="5" t="s">
        <v>390</v>
      </c>
    </row>
    <row r="90" customFormat="false" ht="46.25" hidden="false" customHeight="false" outlineLevel="0" collapsed="false">
      <c r="A90" s="9" t="s">
        <v>623</v>
      </c>
      <c r="B90" s="5" t="s">
        <v>624</v>
      </c>
      <c r="C90" s="9" t="s">
        <v>625</v>
      </c>
      <c r="D90" s="9" t="s">
        <v>92</v>
      </c>
      <c r="E90" s="9" t="s">
        <v>57</v>
      </c>
      <c r="F90" s="9" t="s">
        <v>57</v>
      </c>
      <c r="G90" s="9" t="s">
        <v>1152</v>
      </c>
      <c r="H90" s="5" t="s">
        <v>1153</v>
      </c>
      <c r="I90" s="5" t="s">
        <v>1154</v>
      </c>
      <c r="J90" s="9"/>
      <c r="K90" s="9" t="s">
        <v>114</v>
      </c>
      <c r="L90" s="9" t="s">
        <v>1155</v>
      </c>
      <c r="M90" s="9" t="s">
        <v>65</v>
      </c>
      <c r="N90" s="9" t="s">
        <v>51</v>
      </c>
      <c r="O90" s="9"/>
      <c r="P90" s="9" t="s">
        <v>121</v>
      </c>
      <c r="Q90" s="9"/>
      <c r="R90" s="10" t="s">
        <v>626</v>
      </c>
      <c r="S90" s="9"/>
      <c r="T90" s="9"/>
      <c r="U90" s="9"/>
      <c r="V90" s="9"/>
      <c r="W90" s="9"/>
      <c r="X90" s="5" t="s">
        <v>1156</v>
      </c>
      <c r="Y90" s="9" t="s">
        <v>63</v>
      </c>
      <c r="Z90" s="9"/>
      <c r="AA90" s="9" t="n">
        <v>4</v>
      </c>
      <c r="AB90" s="5" t="s">
        <v>627</v>
      </c>
    </row>
    <row r="91" customFormat="false" ht="57.45" hidden="false" customHeight="false" outlineLevel="0" collapsed="false">
      <c r="A91" s="9" t="s">
        <v>117</v>
      </c>
      <c r="B91" s="5" t="s">
        <v>118</v>
      </c>
      <c r="C91" s="9" t="s">
        <v>111</v>
      </c>
      <c r="D91" s="9" t="s">
        <v>92</v>
      </c>
      <c r="E91" s="9" t="s">
        <v>57</v>
      </c>
      <c r="F91" s="9" t="s">
        <v>57</v>
      </c>
      <c r="G91" s="9" t="s">
        <v>1080</v>
      </c>
      <c r="H91" s="5" t="s">
        <v>1103</v>
      </c>
      <c r="I91" s="5" t="s">
        <v>1104</v>
      </c>
      <c r="J91" s="9"/>
      <c r="K91" s="9" t="s">
        <v>114</v>
      </c>
      <c r="L91" s="9" t="s">
        <v>734</v>
      </c>
      <c r="M91" s="9" t="s">
        <v>65</v>
      </c>
      <c r="N91" s="9" t="s">
        <v>51</v>
      </c>
      <c r="O91" s="9" t="s">
        <v>120</v>
      </c>
      <c r="P91" s="9" t="s">
        <v>121</v>
      </c>
      <c r="Q91" s="9"/>
      <c r="R91" s="10" t="s">
        <v>119</v>
      </c>
      <c r="S91" s="9"/>
      <c r="T91" s="9"/>
      <c r="U91" s="9"/>
      <c r="V91" s="9" t="s">
        <v>122</v>
      </c>
      <c r="W91" s="9"/>
      <c r="X91" s="5" t="s">
        <v>1105</v>
      </c>
      <c r="Y91" s="9" t="s">
        <v>64</v>
      </c>
      <c r="Z91" s="9"/>
      <c r="AA91" s="9" t="n">
        <v>1</v>
      </c>
      <c r="AB91" s="9" t="s">
        <v>123</v>
      </c>
    </row>
    <row r="92" customFormat="false" ht="46.25" hidden="false" customHeight="false" outlineLevel="0" collapsed="false">
      <c r="A92" s="9" t="s">
        <v>161</v>
      </c>
      <c r="B92" s="5" t="s">
        <v>162</v>
      </c>
      <c r="C92" s="9" t="s">
        <v>163</v>
      </c>
      <c r="D92" s="9" t="s">
        <v>92</v>
      </c>
      <c r="E92" s="9" t="s">
        <v>57</v>
      </c>
      <c r="F92" s="9" t="s">
        <v>57</v>
      </c>
      <c r="G92" s="9" t="s">
        <v>1080</v>
      </c>
      <c r="H92" s="5" t="s">
        <v>1106</v>
      </c>
      <c r="I92" s="5" t="s">
        <v>1094</v>
      </c>
      <c r="J92" s="9"/>
      <c r="K92" s="9" t="s">
        <v>106</v>
      </c>
      <c r="L92" s="9" t="s">
        <v>1107</v>
      </c>
      <c r="M92" s="9" t="s">
        <v>65</v>
      </c>
      <c r="N92" s="9" t="s">
        <v>51</v>
      </c>
      <c r="O92" s="9" t="s">
        <v>128</v>
      </c>
      <c r="P92" s="9" t="s">
        <v>121</v>
      </c>
      <c r="Q92" s="9"/>
      <c r="R92" s="10" t="s">
        <v>164</v>
      </c>
      <c r="S92" s="9"/>
      <c r="T92" s="9"/>
      <c r="U92" s="9"/>
      <c r="V92" s="9"/>
      <c r="W92" s="9"/>
      <c r="X92" s="5" t="s">
        <v>1108</v>
      </c>
      <c r="Y92" s="9" t="s">
        <v>64</v>
      </c>
      <c r="Z92" s="9"/>
      <c r="AA92" s="9" t="n">
        <v>1</v>
      </c>
      <c r="AB92" s="9" t="s">
        <v>165</v>
      </c>
    </row>
    <row r="93" customFormat="false" ht="46.25" hidden="false" customHeight="false" outlineLevel="0" collapsed="false">
      <c r="A93" s="9" t="s">
        <v>246</v>
      </c>
      <c r="B93" s="5" t="s">
        <v>247</v>
      </c>
      <c r="C93" s="9" t="s">
        <v>248</v>
      </c>
      <c r="D93" s="9" t="s">
        <v>156</v>
      </c>
      <c r="E93" s="9" t="s">
        <v>57</v>
      </c>
      <c r="F93" s="9" t="s">
        <v>57</v>
      </c>
      <c r="G93" s="9" t="s">
        <v>1080</v>
      </c>
      <c r="H93" s="5" t="s">
        <v>1109</v>
      </c>
      <c r="I93" s="5" t="s">
        <v>1094</v>
      </c>
      <c r="J93" s="9" t="s">
        <v>1110</v>
      </c>
      <c r="K93" s="9" t="s">
        <v>114</v>
      </c>
      <c r="L93" s="9" t="s">
        <v>1111</v>
      </c>
      <c r="M93" s="9" t="s">
        <v>65</v>
      </c>
      <c r="N93" s="9" t="s">
        <v>51</v>
      </c>
      <c r="O93" s="9"/>
      <c r="P93" s="9" t="s">
        <v>121</v>
      </c>
      <c r="Q93" s="9"/>
      <c r="R93" s="9"/>
      <c r="S93" s="9"/>
      <c r="T93" s="9"/>
      <c r="U93" s="9"/>
      <c r="V93" s="9"/>
      <c r="W93" s="9"/>
      <c r="X93" s="5" t="s">
        <v>1112</v>
      </c>
      <c r="Y93" s="9" t="s">
        <v>64</v>
      </c>
      <c r="Z93" s="9"/>
      <c r="AA93" s="9" t="n">
        <v>3</v>
      </c>
      <c r="AB93" s="5" t="s">
        <v>249</v>
      </c>
    </row>
    <row r="94" customFormat="false" ht="57.45" hidden="false" customHeight="false" outlineLevel="0" collapsed="false">
      <c r="A94" s="9" t="s">
        <v>447</v>
      </c>
      <c r="B94" s="5" t="s">
        <v>448</v>
      </c>
      <c r="C94" s="9" t="s">
        <v>449</v>
      </c>
      <c r="D94" s="9" t="s">
        <v>92</v>
      </c>
      <c r="E94" s="9" t="s">
        <v>57</v>
      </c>
      <c r="F94" s="9" t="s">
        <v>57</v>
      </c>
      <c r="G94" s="9" t="s">
        <v>1080</v>
      </c>
      <c r="H94" s="5" t="s">
        <v>1113</v>
      </c>
      <c r="I94" s="5" t="s">
        <v>1094</v>
      </c>
      <c r="J94" s="9"/>
      <c r="K94" s="9" t="s">
        <v>450</v>
      </c>
      <c r="L94" s="9" t="s">
        <v>734</v>
      </c>
      <c r="M94" s="9" t="s">
        <v>65</v>
      </c>
      <c r="N94" s="9" t="s">
        <v>51</v>
      </c>
      <c r="O94" s="9"/>
      <c r="P94" s="9"/>
      <c r="Q94" s="9"/>
      <c r="R94" s="9"/>
      <c r="S94" s="9"/>
      <c r="T94" s="9"/>
      <c r="U94" s="9"/>
      <c r="V94" s="9"/>
      <c r="W94" s="9"/>
      <c r="X94" s="5" t="s">
        <v>1114</v>
      </c>
      <c r="Y94" s="9" t="s">
        <v>64</v>
      </c>
      <c r="Z94" s="9"/>
      <c r="AA94" s="9" t="n">
        <v>3</v>
      </c>
      <c r="AB94" s="5" t="s">
        <v>451</v>
      </c>
    </row>
    <row r="95" customFormat="false" ht="46.25" hidden="false" customHeight="false" outlineLevel="0" collapsed="false">
      <c r="A95" s="9" t="s">
        <v>591</v>
      </c>
      <c r="B95" s="5" t="s">
        <v>592</v>
      </c>
      <c r="C95" s="9" t="s">
        <v>593</v>
      </c>
      <c r="D95" s="9" t="s">
        <v>92</v>
      </c>
      <c r="E95" s="9" t="s">
        <v>57</v>
      </c>
      <c r="F95" s="9" t="s">
        <v>57</v>
      </c>
      <c r="G95" s="9" t="s">
        <v>1115</v>
      </c>
      <c r="H95" s="5" t="s">
        <v>1121</v>
      </c>
      <c r="I95" s="5" t="s">
        <v>1122</v>
      </c>
      <c r="J95" s="9"/>
      <c r="K95" s="9" t="s">
        <v>114</v>
      </c>
      <c r="L95" s="9" t="s">
        <v>1123</v>
      </c>
      <c r="M95" s="9" t="s">
        <v>65</v>
      </c>
      <c r="N95" s="9" t="s">
        <v>51</v>
      </c>
      <c r="O95" s="9"/>
      <c r="P95" s="9" t="s">
        <v>121</v>
      </c>
      <c r="Q95" s="9"/>
      <c r="R95" s="10" t="s">
        <v>594</v>
      </c>
      <c r="S95" s="9"/>
      <c r="T95" s="9"/>
      <c r="U95" s="9"/>
      <c r="V95" s="9" t="s">
        <v>595</v>
      </c>
      <c r="W95" s="9"/>
      <c r="X95" s="5" t="s">
        <v>1124</v>
      </c>
      <c r="Y95" s="9" t="s">
        <v>64</v>
      </c>
      <c r="Z95" s="9"/>
      <c r="AA95" s="9" t="n">
        <v>3</v>
      </c>
      <c r="AB95" s="5" t="s">
        <v>596</v>
      </c>
    </row>
    <row r="96" customFormat="false" ht="23.85" hidden="false" customHeight="false" outlineLevel="0" collapsed="false">
      <c r="A96" s="9" t="s">
        <v>330</v>
      </c>
      <c r="B96" s="5" t="s">
        <v>331</v>
      </c>
      <c r="C96" s="9" t="s">
        <v>331</v>
      </c>
      <c r="D96" s="9" t="s">
        <v>92</v>
      </c>
      <c r="E96" s="9" t="s">
        <v>57</v>
      </c>
      <c r="F96" s="9" t="s">
        <v>57</v>
      </c>
      <c r="G96" s="9" t="s">
        <v>1125</v>
      </c>
      <c r="H96" s="5" t="s">
        <v>1144</v>
      </c>
      <c r="I96" s="5"/>
      <c r="J96" s="9"/>
      <c r="K96" s="9" t="s">
        <v>114</v>
      </c>
      <c r="L96" s="9"/>
      <c r="M96" s="9" t="s">
        <v>67</v>
      </c>
      <c r="N96" s="9" t="s">
        <v>50</v>
      </c>
      <c r="O96" s="9" t="s">
        <v>332</v>
      </c>
      <c r="P96" s="9" t="s">
        <v>93</v>
      </c>
      <c r="Q96" s="9"/>
      <c r="R96" s="9"/>
      <c r="S96" s="9"/>
      <c r="T96" s="9"/>
      <c r="U96" s="9"/>
      <c r="V96" s="9" t="s">
        <v>1145</v>
      </c>
      <c r="W96" s="9"/>
      <c r="X96" s="5" t="s">
        <v>1146</v>
      </c>
      <c r="Y96" s="9" t="s">
        <v>63</v>
      </c>
      <c r="Z96" s="9" t="s">
        <v>56</v>
      </c>
      <c r="AA96" s="9" t="n">
        <v>3</v>
      </c>
      <c r="AB96" s="5" t="s">
        <v>1147</v>
      </c>
    </row>
    <row r="97" customFormat="false" ht="35.05" hidden="false" customHeight="false" outlineLevel="0" collapsed="false">
      <c r="A97" s="9" t="s">
        <v>474</v>
      </c>
      <c r="B97" s="5" t="s">
        <v>475</v>
      </c>
      <c r="C97" s="9" t="s">
        <v>476</v>
      </c>
      <c r="D97" s="9" t="s">
        <v>156</v>
      </c>
      <c r="E97" s="9" t="s">
        <v>1201</v>
      </c>
      <c r="F97" s="9" t="s">
        <v>58</v>
      </c>
      <c r="G97" s="9" t="s">
        <v>1158</v>
      </c>
      <c r="H97" s="5" t="s">
        <v>1159</v>
      </c>
      <c r="I97" s="5" t="s">
        <v>1160</v>
      </c>
      <c r="J97" s="9" t="s">
        <v>1161</v>
      </c>
      <c r="K97" s="9" t="s">
        <v>114</v>
      </c>
      <c r="L97" s="9" t="s">
        <v>1162</v>
      </c>
      <c r="M97" s="9" t="s">
        <v>65</v>
      </c>
      <c r="N97" s="9" t="s">
        <v>45</v>
      </c>
      <c r="O97" s="9"/>
      <c r="P97" s="9" t="s">
        <v>93</v>
      </c>
      <c r="Q97" s="9" t="s">
        <v>1163</v>
      </c>
      <c r="R97" s="10" t="s">
        <v>477</v>
      </c>
      <c r="S97" s="9"/>
      <c r="T97" s="9"/>
      <c r="U97" s="9"/>
      <c r="V97" s="9" t="s">
        <v>478</v>
      </c>
      <c r="W97" s="9"/>
      <c r="X97" s="5" t="s">
        <v>1164</v>
      </c>
      <c r="Y97" s="9" t="s">
        <v>63</v>
      </c>
      <c r="Z97" s="9"/>
      <c r="AA97" s="9" t="n">
        <v>3</v>
      </c>
      <c r="AB97" s="5" t="s">
        <v>479</v>
      </c>
    </row>
    <row r="98" customFormat="false" ht="46.25" hidden="false" customHeight="false" outlineLevel="0" collapsed="false">
      <c r="A98" s="9" t="s">
        <v>277</v>
      </c>
      <c r="B98" s="5" t="s">
        <v>278</v>
      </c>
      <c r="C98" s="9" t="s">
        <v>279</v>
      </c>
      <c r="D98" s="9" t="s">
        <v>156</v>
      </c>
      <c r="E98" s="9" t="s">
        <v>1201</v>
      </c>
      <c r="F98" s="9" t="s">
        <v>58</v>
      </c>
      <c r="G98" s="9" t="s">
        <v>1158</v>
      </c>
      <c r="H98" s="5" t="s">
        <v>1165</v>
      </c>
      <c r="I98" s="5" t="s">
        <v>1166</v>
      </c>
      <c r="J98" s="9" t="s">
        <v>1167</v>
      </c>
      <c r="K98" s="9" t="s">
        <v>114</v>
      </c>
      <c r="L98" s="9" t="s">
        <v>1168</v>
      </c>
      <c r="M98" s="9" t="s">
        <v>66</v>
      </c>
      <c r="N98" s="9" t="s">
        <v>44</v>
      </c>
      <c r="O98" s="9"/>
      <c r="P98" s="9" t="s">
        <v>93</v>
      </c>
      <c r="Q98" s="9" t="s">
        <v>1169</v>
      </c>
      <c r="R98" s="10" t="s">
        <v>280</v>
      </c>
      <c r="S98" s="9"/>
      <c r="T98" s="9"/>
      <c r="U98" s="9"/>
      <c r="V98" s="9" t="s">
        <v>281</v>
      </c>
      <c r="W98" s="9"/>
      <c r="X98" s="5" t="s">
        <v>1170</v>
      </c>
      <c r="Y98" s="9" t="s">
        <v>63</v>
      </c>
      <c r="Z98" s="9"/>
      <c r="AA98" s="9" t="n">
        <v>2</v>
      </c>
      <c r="AB98" s="5" t="s">
        <v>282</v>
      </c>
    </row>
    <row r="99" customFormat="false" ht="46.25" hidden="false" customHeight="false" outlineLevel="0" collapsed="false">
      <c r="A99" s="9" t="s">
        <v>601</v>
      </c>
      <c r="B99" s="5" t="s">
        <v>602</v>
      </c>
      <c r="C99" s="9" t="s">
        <v>603</v>
      </c>
      <c r="D99" s="9" t="s">
        <v>92</v>
      </c>
      <c r="E99" s="9" t="s">
        <v>1201</v>
      </c>
      <c r="F99" s="9" t="s">
        <v>58</v>
      </c>
      <c r="G99" s="9" t="s">
        <v>1158</v>
      </c>
      <c r="H99" s="5" t="s">
        <v>1171</v>
      </c>
      <c r="I99" s="5" t="s">
        <v>1160</v>
      </c>
      <c r="J99" s="9" t="s">
        <v>1172</v>
      </c>
      <c r="K99" s="9" t="s">
        <v>114</v>
      </c>
      <c r="L99" s="9" t="s">
        <v>1173</v>
      </c>
      <c r="M99" s="9" t="s">
        <v>66</v>
      </c>
      <c r="N99" s="9" t="s">
        <v>47</v>
      </c>
      <c r="O99" s="9"/>
      <c r="P99" s="9" t="s">
        <v>93</v>
      </c>
      <c r="Q99" s="9" t="s">
        <v>1174</v>
      </c>
      <c r="R99" s="10" t="s">
        <v>604</v>
      </c>
      <c r="S99" s="9"/>
      <c r="T99" s="9"/>
      <c r="U99" s="9"/>
      <c r="V99" s="9" t="s">
        <v>605</v>
      </c>
      <c r="W99" s="9"/>
      <c r="X99" s="5" t="s">
        <v>1175</v>
      </c>
      <c r="Y99" s="9" t="s">
        <v>63</v>
      </c>
      <c r="Z99" s="9"/>
      <c r="AA99" s="9" t="n">
        <v>3</v>
      </c>
      <c r="AB99" s="5" t="s">
        <v>606</v>
      </c>
    </row>
    <row r="100" customFormat="false" ht="35.05" hidden="false" customHeight="false" outlineLevel="0" collapsed="false">
      <c r="A100" s="9" t="s">
        <v>264</v>
      </c>
      <c r="B100" s="5" t="s">
        <v>265</v>
      </c>
      <c r="C100" s="9" t="s">
        <v>266</v>
      </c>
      <c r="D100" s="9" t="s">
        <v>156</v>
      </c>
      <c r="E100" s="9" t="s">
        <v>1201</v>
      </c>
      <c r="F100" s="9" t="s">
        <v>58</v>
      </c>
      <c r="G100" s="9" t="s">
        <v>1158</v>
      </c>
      <c r="H100" s="5" t="s">
        <v>1176</v>
      </c>
      <c r="I100" s="5" t="s">
        <v>1160</v>
      </c>
      <c r="J100" s="9"/>
      <c r="K100" s="9" t="s">
        <v>114</v>
      </c>
      <c r="L100" s="9" t="s">
        <v>1173</v>
      </c>
      <c r="M100" s="9" t="s">
        <v>66</v>
      </c>
      <c r="N100" s="9" t="s">
        <v>50</v>
      </c>
      <c r="O100" s="9"/>
      <c r="P100" s="9" t="s">
        <v>93</v>
      </c>
      <c r="Q100" s="9"/>
      <c r="R100" s="10" t="s">
        <v>267</v>
      </c>
      <c r="S100" s="9"/>
      <c r="T100" s="9"/>
      <c r="U100" s="9"/>
      <c r="V100" s="9" t="s">
        <v>268</v>
      </c>
      <c r="W100" s="9" t="s">
        <v>269</v>
      </c>
      <c r="X100" s="5" t="s">
        <v>1164</v>
      </c>
      <c r="Y100" s="9" t="s">
        <v>63</v>
      </c>
      <c r="Z100" s="9"/>
      <c r="AA100" s="9" t="n">
        <v>2</v>
      </c>
      <c r="AB100" s="5" t="s">
        <v>270</v>
      </c>
    </row>
    <row r="101" customFormat="false" ht="35.05" hidden="false" customHeight="false" outlineLevel="0" collapsed="false">
      <c r="A101" s="9" t="s">
        <v>375</v>
      </c>
      <c r="B101" s="5" t="s">
        <v>376</v>
      </c>
      <c r="C101" s="9" t="s">
        <v>377</v>
      </c>
      <c r="D101" s="9" t="s">
        <v>156</v>
      </c>
      <c r="E101" s="9" t="s">
        <v>1201</v>
      </c>
      <c r="F101" s="9" t="s">
        <v>58</v>
      </c>
      <c r="G101" s="9" t="s">
        <v>1158</v>
      </c>
      <c r="H101" s="5" t="s">
        <v>1177</v>
      </c>
      <c r="I101" s="5" t="s">
        <v>1160</v>
      </c>
      <c r="J101" s="9" t="s">
        <v>1178</v>
      </c>
      <c r="K101" s="9" t="s">
        <v>114</v>
      </c>
      <c r="L101" s="9" t="s">
        <v>1173</v>
      </c>
      <c r="M101" s="9" t="s">
        <v>66</v>
      </c>
      <c r="N101" s="9" t="s">
        <v>50</v>
      </c>
      <c r="O101" s="9"/>
      <c r="P101" s="9" t="s">
        <v>93</v>
      </c>
      <c r="Q101" s="9"/>
      <c r="R101" s="10" t="s">
        <v>378</v>
      </c>
      <c r="S101" s="9"/>
      <c r="T101" s="9"/>
      <c r="U101" s="9"/>
      <c r="V101" s="9" t="s">
        <v>379</v>
      </c>
      <c r="W101" s="9" t="s">
        <v>380</v>
      </c>
      <c r="X101" s="5" t="s">
        <v>1164</v>
      </c>
      <c r="Y101" s="9" t="s">
        <v>63</v>
      </c>
      <c r="Z101" s="9"/>
      <c r="AA101" s="9" t="n">
        <v>2</v>
      </c>
      <c r="AB101" s="5" t="s">
        <v>381</v>
      </c>
    </row>
    <row r="102" customFormat="false" ht="57.45" hidden="false" customHeight="false" outlineLevel="0" collapsed="false">
      <c r="A102" s="9" t="s">
        <v>607</v>
      </c>
      <c r="B102" s="5" t="s">
        <v>608</v>
      </c>
      <c r="C102" s="9" t="s">
        <v>609</v>
      </c>
      <c r="D102" s="9" t="s">
        <v>92</v>
      </c>
      <c r="E102" s="9" t="s">
        <v>1201</v>
      </c>
      <c r="F102" s="9" t="s">
        <v>58</v>
      </c>
      <c r="G102" s="9" t="s">
        <v>1158</v>
      </c>
      <c r="H102" s="5" t="s">
        <v>1179</v>
      </c>
      <c r="I102" s="5" t="s">
        <v>1160</v>
      </c>
      <c r="J102" s="9"/>
      <c r="K102" s="9" t="s">
        <v>114</v>
      </c>
      <c r="L102" s="9" t="s">
        <v>1173</v>
      </c>
      <c r="M102" s="9" t="s">
        <v>66</v>
      </c>
      <c r="N102" s="9" t="s">
        <v>51</v>
      </c>
      <c r="O102" s="9"/>
      <c r="P102" s="9" t="s">
        <v>610</v>
      </c>
      <c r="Q102" s="9" t="s">
        <v>610</v>
      </c>
      <c r="R102" s="10" t="s">
        <v>604</v>
      </c>
      <c r="S102" s="9"/>
      <c r="T102" s="9"/>
      <c r="U102" s="9"/>
      <c r="V102" s="9" t="s">
        <v>611</v>
      </c>
      <c r="W102" s="9"/>
      <c r="X102" s="5" t="s">
        <v>1180</v>
      </c>
      <c r="Y102" s="9" t="s">
        <v>63</v>
      </c>
      <c r="Z102" s="9"/>
      <c r="AA102" s="9" t="n">
        <v>1</v>
      </c>
      <c r="AB102" s="9" t="s">
        <v>612</v>
      </c>
    </row>
    <row r="103" customFormat="false" ht="57.45" hidden="false" customHeight="false" outlineLevel="0" collapsed="false">
      <c r="A103" s="9" t="s">
        <v>613</v>
      </c>
      <c r="B103" s="5" t="s">
        <v>614</v>
      </c>
      <c r="C103" s="9" t="s">
        <v>615</v>
      </c>
      <c r="D103" s="9" t="s">
        <v>92</v>
      </c>
      <c r="E103" s="9" t="s">
        <v>1201</v>
      </c>
      <c r="F103" s="9" t="s">
        <v>58</v>
      </c>
      <c r="G103" s="9" t="s">
        <v>1158</v>
      </c>
      <c r="H103" s="5" t="s">
        <v>1181</v>
      </c>
      <c r="I103" s="5" t="s">
        <v>1160</v>
      </c>
      <c r="J103" s="9"/>
      <c r="K103" s="9" t="s">
        <v>114</v>
      </c>
      <c r="L103" s="9" t="s">
        <v>1173</v>
      </c>
      <c r="M103" s="9" t="s">
        <v>66</v>
      </c>
      <c r="N103" s="9" t="s">
        <v>51</v>
      </c>
      <c r="O103" s="9"/>
      <c r="P103" s="9" t="s">
        <v>616</v>
      </c>
      <c r="Q103" s="9" t="s">
        <v>616</v>
      </c>
      <c r="R103" s="10" t="s">
        <v>604</v>
      </c>
      <c r="S103" s="9"/>
      <c r="T103" s="9"/>
      <c r="U103" s="9"/>
      <c r="V103" s="9" t="s">
        <v>611</v>
      </c>
      <c r="W103" s="9"/>
      <c r="X103" s="5" t="s">
        <v>1180</v>
      </c>
      <c r="Y103" s="9" t="s">
        <v>63</v>
      </c>
      <c r="Z103" s="9"/>
      <c r="AA103" s="9" t="n">
        <v>1</v>
      </c>
      <c r="AB103" s="9" t="s">
        <v>612</v>
      </c>
    </row>
    <row r="104" customFormat="false" ht="91" hidden="false" customHeight="false" outlineLevel="0" collapsed="false">
      <c r="A104" s="9" t="s">
        <v>215</v>
      </c>
      <c r="B104" s="5" t="s">
        <v>216</v>
      </c>
      <c r="C104" s="9" t="s">
        <v>217</v>
      </c>
      <c r="D104" s="9" t="s">
        <v>92</v>
      </c>
      <c r="E104" s="9" t="s">
        <v>1201</v>
      </c>
      <c r="F104" s="9" t="s">
        <v>59</v>
      </c>
      <c r="G104" s="9" t="s">
        <v>1190</v>
      </c>
      <c r="H104" s="5" t="s">
        <v>1191</v>
      </c>
      <c r="I104" s="5"/>
      <c r="J104" s="9"/>
      <c r="K104" s="9" t="s">
        <v>100</v>
      </c>
      <c r="L104" s="9"/>
      <c r="M104" s="9" t="s">
        <v>65</v>
      </c>
      <c r="N104" s="9" t="s">
        <v>44</v>
      </c>
      <c r="O104" s="9" t="s">
        <v>219</v>
      </c>
      <c r="P104" s="9" t="s">
        <v>93</v>
      </c>
      <c r="Q104" s="9" t="s">
        <v>1192</v>
      </c>
      <c r="R104" s="10" t="s">
        <v>218</v>
      </c>
      <c r="S104" s="9"/>
      <c r="T104" s="9"/>
      <c r="U104" s="9"/>
      <c r="V104" s="9" t="s">
        <v>220</v>
      </c>
      <c r="W104" s="9"/>
      <c r="X104" s="5" t="s">
        <v>1193</v>
      </c>
      <c r="Y104" s="9" t="s">
        <v>63</v>
      </c>
      <c r="Z104" s="9"/>
      <c r="AA104" s="9" t="n">
        <v>6</v>
      </c>
      <c r="AB104" s="5" t="s">
        <v>221</v>
      </c>
    </row>
    <row r="105" customFormat="false" ht="68.65" hidden="false" customHeight="false" outlineLevel="0" collapsed="false">
      <c r="A105" s="9" t="s">
        <v>337</v>
      </c>
      <c r="B105" s="5" t="s">
        <v>338</v>
      </c>
      <c r="C105" s="9" t="s">
        <v>339</v>
      </c>
      <c r="D105" s="9" t="s">
        <v>92</v>
      </c>
      <c r="E105" s="9" t="s">
        <v>1201</v>
      </c>
      <c r="F105" s="9" t="s">
        <v>59</v>
      </c>
      <c r="G105" s="9" t="s">
        <v>1190</v>
      </c>
      <c r="H105" s="5" t="s">
        <v>1194</v>
      </c>
      <c r="I105" s="5"/>
      <c r="J105" s="9"/>
      <c r="K105" s="9" t="s">
        <v>100</v>
      </c>
      <c r="L105" s="9" t="s">
        <v>1195</v>
      </c>
      <c r="M105" s="9" t="s">
        <v>65</v>
      </c>
      <c r="N105" s="9" t="s">
        <v>44</v>
      </c>
      <c r="O105" s="9" t="s">
        <v>341</v>
      </c>
      <c r="P105" s="9" t="s">
        <v>93</v>
      </c>
      <c r="Q105" s="9"/>
      <c r="R105" s="10" t="s">
        <v>340</v>
      </c>
      <c r="S105" s="9"/>
      <c r="T105" s="9"/>
      <c r="U105" s="9"/>
      <c r="V105" s="9" t="s">
        <v>342</v>
      </c>
      <c r="W105" s="9"/>
      <c r="X105" s="5" t="s">
        <v>1196</v>
      </c>
      <c r="Y105" s="9" t="s">
        <v>63</v>
      </c>
      <c r="Z105" s="9"/>
      <c r="AA105" s="9" t="n">
        <v>5</v>
      </c>
      <c r="AB105" s="5" t="s">
        <v>343</v>
      </c>
    </row>
    <row r="106" customFormat="false" ht="57.45" hidden="false" customHeight="false" outlineLevel="0" collapsed="false">
      <c r="A106" s="9" t="s">
        <v>667</v>
      </c>
      <c r="B106" s="5" t="s">
        <v>668</v>
      </c>
      <c r="C106" s="9" t="s">
        <v>669</v>
      </c>
      <c r="D106" s="9" t="s">
        <v>156</v>
      </c>
      <c r="E106" s="9" t="s">
        <v>1201</v>
      </c>
      <c r="F106" s="9" t="s">
        <v>59</v>
      </c>
      <c r="G106" s="9" t="s">
        <v>1183</v>
      </c>
      <c r="H106" s="5" t="s">
        <v>1184</v>
      </c>
      <c r="I106" s="5" t="s">
        <v>1185</v>
      </c>
      <c r="J106" s="9" t="s">
        <v>1186</v>
      </c>
      <c r="K106" s="9" t="s">
        <v>672</v>
      </c>
      <c r="L106" s="9" t="s">
        <v>1187</v>
      </c>
      <c r="M106" s="9" t="s">
        <v>65</v>
      </c>
      <c r="N106" s="9" t="s">
        <v>45</v>
      </c>
      <c r="O106" s="9" t="s">
        <v>671</v>
      </c>
      <c r="P106" s="9" t="s">
        <v>93</v>
      </c>
      <c r="Q106" s="9" t="s">
        <v>1188</v>
      </c>
      <c r="R106" s="10" t="s">
        <v>670</v>
      </c>
      <c r="S106" s="9"/>
      <c r="T106" s="9"/>
      <c r="U106" s="9"/>
      <c r="V106" s="9" t="s">
        <v>673</v>
      </c>
      <c r="W106" s="9"/>
      <c r="X106" s="5" t="s">
        <v>1189</v>
      </c>
      <c r="Y106" s="9" t="s">
        <v>63</v>
      </c>
      <c r="Z106" s="9"/>
      <c r="AA106" s="9" t="n">
        <v>4</v>
      </c>
      <c r="AB106" s="5" t="s">
        <v>674</v>
      </c>
    </row>
    <row r="107" customFormat="false" ht="57.45" hidden="false" customHeight="false" outlineLevel="0" collapsed="false">
      <c r="A107" s="9" t="s">
        <v>96</v>
      </c>
      <c r="B107" s="5" t="s">
        <v>97</v>
      </c>
      <c r="C107" s="9" t="s">
        <v>98</v>
      </c>
      <c r="D107" s="9" t="s">
        <v>92</v>
      </c>
      <c r="E107" s="9" t="s">
        <v>1201</v>
      </c>
      <c r="F107" s="9" t="s">
        <v>59</v>
      </c>
      <c r="G107" s="9" t="s">
        <v>1190</v>
      </c>
      <c r="H107" s="5" t="s">
        <v>1197</v>
      </c>
      <c r="I107" s="5"/>
      <c r="J107" s="9"/>
      <c r="K107" s="9" t="s">
        <v>100</v>
      </c>
      <c r="L107" s="9"/>
      <c r="M107" s="9" t="s">
        <v>65</v>
      </c>
      <c r="N107" s="9" t="s">
        <v>50</v>
      </c>
      <c r="O107" s="9" t="s">
        <v>93</v>
      </c>
      <c r="P107" s="9" t="s">
        <v>93</v>
      </c>
      <c r="Q107" s="9" t="s">
        <v>1198</v>
      </c>
      <c r="R107" s="10" t="s">
        <v>99</v>
      </c>
      <c r="S107" s="9"/>
      <c r="T107" s="9"/>
      <c r="U107" s="9"/>
      <c r="V107" s="9" t="s">
        <v>101</v>
      </c>
      <c r="W107" s="9"/>
      <c r="X107" s="5" t="s">
        <v>1199</v>
      </c>
      <c r="Y107" s="9" t="s">
        <v>63</v>
      </c>
      <c r="Z107" s="9"/>
      <c r="AA107" s="9" t="n">
        <v>4</v>
      </c>
      <c r="AB107" s="5" t="s">
        <v>102</v>
      </c>
    </row>
  </sheetData>
  <hyperlinks>
    <hyperlink ref="R2" r:id="rId1" display="https://www.ambujagroup.com/"/>
    <hyperlink ref="R3" r:id="rId2" display="https://www.maizeproducts.com/"/>
    <hyperlink ref="R5" r:id="rId3" display="https://www.jaysomnathstarch.in/"/>
    <hyperlink ref="R6" r:id="rId4" display="https://www.roquette.com/"/>
    <hyperlink ref="R7" r:id="rId5" display="https://www.ingredion.com"/>
    <hyperlink ref="R8" r:id="rId6" display="https://www.roquette.com"/>
    <hyperlink ref="R9" r:id="rId7" display="https://www.adm.com"/>
    <hyperlink ref="R10" r:id="rId8" display="https://www.avantorsciences.com"/>
    <hyperlink ref="R11" r:id="rId9" display="https://www.biesterfeld.com"/>
    <hyperlink ref="R12" r:id="rId10" display="https://www.cargill.com/pharmaceutical/pharma-products/glucose-monohydrates-dextrose"/>
    <hyperlink ref="R13" r:id="rId11" display="https://www.cargill.com"/>
    <hyperlink ref="R14" r:id="rId12" display="https://www.cosmos.com.mx"/>
    <hyperlink ref="R16" r:id="rId13" display="https://www.hawkinsinc.com"/>
    <hyperlink ref="R17" r:id="rId14" display="https://www.nordmann.global"/>
    <hyperlink ref="R19" r:id="rId15" display="https://www.tereos.com"/>
    <hyperlink ref="R26" r:id="rId16" display="https://www.laballey.com"/>
    <hyperlink ref="R27" r:id="rId17" display="https://www.quadragroup.store"/>
    <hyperlink ref="R28" r:id="rId18" display="https://www.tianjiachem.com"/>
    <hyperlink ref="R29" r:id="rId19" display="https://www.xenexlabs.com"/>
    <hyperlink ref="R30" r:id="rId20" display="https://regaalresources.com/"/>
    <hyperlink ref="R31" r:id="rId21" display="https://www.tilleydistributionproducts.com"/>
    <hyperlink ref="R32" r:id="rId22" display="https://www.monarchchemicals.co.uk"/>
    <hyperlink ref="R35" r:id="rId23" display="https://www.sukhjitgroup.com/"/>
    <hyperlink ref="R36" r:id="rId24" display="https://elchemy.com/"/>
    <hyperlink ref="R37" r:id="rId25" display="https://pciplindia.com/"/>
    <hyperlink ref="R38" r:id="rId26" display="https://www.ramshreechemicals.in/"/>
    <hyperlink ref="R39" r:id="rId27" display="https://www.ambujagroup.com/"/>
    <hyperlink ref="R40" r:id="rId28" display="https://riddhisiddhi.co.in/"/>
    <hyperlink ref="R41" r:id="rId29" display="https://www.roquette.com/"/>
    <hyperlink ref="R42" r:id="rId30" display="https://www.universalstarch.com/"/>
    <hyperlink ref="R43" r:id="rId31" display="https://www.sayajigroup.in/"/>
    <hyperlink ref="R44" r:id="rId32" display="https://eicl.in"/>
    <hyperlink ref="R46" r:id="rId33" display="https://www.sukhjitgroup.com/"/>
    <hyperlink ref="R50" r:id="rId34" display="https://www.nafed-india.com"/>
    <hyperlink ref="R51" r:id="rId35" display="https://nccf-india.com"/>
    <hyperlink ref="R52" r:id="rId36" display="https://www.ril.com"/>
    <hyperlink ref="R53" r:id="rId37" display="https://www.chemcogroup.com"/>
    <hyperlink ref="R55" r:id="rId38" display="https://www.indoramaventures.com/en/worldwide/2001/ivl-dhunseri-petrochem-industries-private-limited"/>
    <hyperlink ref="R60" r:id="rId39" display="https://www.shethpet.in"/>
    <hyperlink ref="R63" r:id="rId40" display="https://www.pranavplasticsindia.com"/>
    <hyperlink ref="R66" r:id="rId41" display="https://m.indiamart.com/markpack"/>
    <hyperlink ref="R67" r:id="rId42" display="https://m.indiamart.com/sibi-polymers/"/>
    <hyperlink ref="R69" r:id="rId43" display="https://www.manjushreeindia.com/"/>
    <hyperlink ref="R70" r:id="rId44" display="https://www.petainer.com"/>
    <hyperlink ref="R71" r:id="rId45" display="https://m.indiamart.com/sonapetindustries"/>
    <hyperlink ref="R72" r:id="rId46" display="https://parleagro.com/"/>
    <hyperlink ref="R75" r:id="rId47" display="https://m.indiamart.com/crystal-poly/"/>
    <hyperlink ref="R76" r:id="rId48" display="https://m.indiamart.com/nishantmouldings"/>
    <hyperlink ref="R78" r:id="rId49" display="https://aptar.com"/>
    <hyperlink ref="R79" r:id="rId50" display="https://bericap.com"/>
    <hyperlink ref="R80" r:id="rId51" display="https://www.gerresheimer.com"/>
    <hyperlink ref="R81" r:id="rId52" display="https://www.manjushreeindia.com"/>
    <hyperlink ref="R83" r:id="rId53" display="https://bericap.com"/>
    <hyperlink ref="R84" r:id="rId54" display="https://www.berryglobal.com"/>
    <hyperlink ref="R88" r:id="rId55" display="https://www.gualaclosures.com"/>
    <hyperlink ref="R89" r:id="rId56" display="https://www.kwk.at"/>
    <hyperlink ref="R90" r:id="rId57" display="https://tekni-plex.com"/>
    <hyperlink ref="R91" r:id="rId58" display="https://www.aptar.com"/>
    <hyperlink ref="R92" r:id="rId59" display="https://berlinpackaging.eu"/>
    <hyperlink ref="R95" r:id="rId60" display="https://silgandispensing.com"/>
    <hyperlink ref="R97" r:id="rId61" display="https://www.polyplex.com"/>
    <hyperlink ref="R98" r:id="rId62" display="https://www.garwarehitechfilms.com"/>
    <hyperlink ref="R99" r:id="rId63" display="https://www.srf.com"/>
    <hyperlink ref="R100" r:id="rId64" display="https://www.esterindustries.com"/>
    <hyperlink ref="R101" r:id="rId65" display="https://www.jindalpoly.com"/>
    <hyperlink ref="R102" r:id="rId66" display="https://www.srf.com"/>
    <hyperlink ref="R103" r:id="rId67" display="https://www.srf.com"/>
    <hyperlink ref="R104" r:id="rId68" display="https://cflex.com"/>
    <hyperlink ref="R105" r:id="rId69" display="https://www.huhtamaki.com/en/flexible-packaging/about-us/india/"/>
    <hyperlink ref="R106" r:id="rId70" display="https://www.uflexltd.com"/>
    <hyperlink ref="R107" r:id="rId71" display="https://www.amcor.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7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2"/>
    <col collapsed="false" customWidth="true" hidden="false" outlineLevel="0" max="4" min="4" style="0" width="90"/>
  </cols>
  <sheetData>
    <row r="1" customFormat="false" ht="31.5" hidden="false" customHeight="true" outlineLevel="0" collapsed="false">
      <c r="A1" s="6" t="s">
        <v>72</v>
      </c>
      <c r="B1" s="6" t="s">
        <v>1202</v>
      </c>
      <c r="C1" s="6" t="s">
        <v>43</v>
      </c>
      <c r="D1" s="6" t="s">
        <v>1203</v>
      </c>
    </row>
    <row r="2" customFormat="false" ht="15" hidden="false" customHeight="false" outlineLevel="0" collapsed="false">
      <c r="A2" s="9" t="s">
        <v>89</v>
      </c>
      <c r="B2" s="9" t="s">
        <v>90</v>
      </c>
      <c r="C2" s="9" t="s">
        <v>56</v>
      </c>
      <c r="D2" s="10" t="s">
        <v>1204</v>
      </c>
    </row>
    <row r="3" customFormat="false" ht="15" hidden="false" customHeight="false" outlineLevel="0" collapsed="false">
      <c r="A3" s="9" t="s">
        <v>89</v>
      </c>
      <c r="B3" s="9" t="s">
        <v>90</v>
      </c>
      <c r="C3" s="9" t="s">
        <v>56</v>
      </c>
      <c r="D3" s="10" t="s">
        <v>1205</v>
      </c>
    </row>
    <row r="4" customFormat="false" ht="15" hidden="false" customHeight="false" outlineLevel="0" collapsed="false">
      <c r="A4" s="9" t="s">
        <v>96</v>
      </c>
      <c r="B4" s="9" t="s">
        <v>97</v>
      </c>
      <c r="C4" s="9" t="s">
        <v>59</v>
      </c>
      <c r="D4" s="10" t="s">
        <v>1206</v>
      </c>
    </row>
    <row r="5" customFormat="false" ht="15" hidden="false" customHeight="false" outlineLevel="0" collapsed="false">
      <c r="A5" s="9" t="s">
        <v>96</v>
      </c>
      <c r="B5" s="9" t="s">
        <v>97</v>
      </c>
      <c r="C5" s="9" t="s">
        <v>59</v>
      </c>
      <c r="D5" s="10" t="s">
        <v>1207</v>
      </c>
    </row>
    <row r="6" customFormat="false" ht="15" hidden="false" customHeight="false" outlineLevel="0" collapsed="false">
      <c r="A6" s="9" t="s">
        <v>96</v>
      </c>
      <c r="B6" s="9" t="s">
        <v>97</v>
      </c>
      <c r="C6" s="9" t="s">
        <v>59</v>
      </c>
      <c r="D6" s="10" t="s">
        <v>1208</v>
      </c>
    </row>
    <row r="7" customFormat="false" ht="15" hidden="false" customHeight="false" outlineLevel="0" collapsed="false">
      <c r="A7" s="9" t="s">
        <v>96</v>
      </c>
      <c r="B7" s="9" t="s">
        <v>97</v>
      </c>
      <c r="C7" s="9" t="s">
        <v>59</v>
      </c>
      <c r="D7" s="10" t="s">
        <v>1209</v>
      </c>
    </row>
    <row r="8" customFormat="false" ht="15" hidden="false" customHeight="false" outlineLevel="0" collapsed="false">
      <c r="A8" s="9" t="s">
        <v>103</v>
      </c>
      <c r="B8" s="9" t="s">
        <v>104</v>
      </c>
      <c r="C8" s="9" t="s">
        <v>53</v>
      </c>
      <c r="D8" s="10" t="s">
        <v>108</v>
      </c>
    </row>
    <row r="9" customFormat="false" ht="15" hidden="false" customHeight="false" outlineLevel="0" collapsed="false">
      <c r="A9" s="9" t="s">
        <v>109</v>
      </c>
      <c r="B9" s="9" t="s">
        <v>110</v>
      </c>
      <c r="C9" s="9" t="s">
        <v>57</v>
      </c>
      <c r="D9" s="10" t="s">
        <v>1210</v>
      </c>
    </row>
    <row r="10" customFormat="false" ht="15" hidden="false" customHeight="false" outlineLevel="0" collapsed="false">
      <c r="A10" s="9" t="s">
        <v>109</v>
      </c>
      <c r="B10" s="9" t="s">
        <v>110</v>
      </c>
      <c r="C10" s="9" t="s">
        <v>57</v>
      </c>
      <c r="D10" s="10" t="s">
        <v>1211</v>
      </c>
    </row>
    <row r="11" customFormat="false" ht="15" hidden="false" customHeight="false" outlineLevel="0" collapsed="false">
      <c r="A11" s="9" t="s">
        <v>109</v>
      </c>
      <c r="B11" s="9" t="s">
        <v>110</v>
      </c>
      <c r="C11" s="9" t="s">
        <v>57</v>
      </c>
      <c r="D11" s="10" t="s">
        <v>1212</v>
      </c>
    </row>
    <row r="12" customFormat="false" ht="15" hidden="false" customHeight="false" outlineLevel="0" collapsed="false">
      <c r="A12" s="9" t="s">
        <v>117</v>
      </c>
      <c r="B12" s="9" t="s">
        <v>118</v>
      </c>
      <c r="C12" s="9" t="s">
        <v>57</v>
      </c>
      <c r="D12" s="10" t="s">
        <v>123</v>
      </c>
    </row>
    <row r="13" customFormat="false" ht="15" hidden="false" customHeight="false" outlineLevel="0" collapsed="false">
      <c r="A13" s="9" t="s">
        <v>124</v>
      </c>
      <c r="B13" s="9" t="s">
        <v>125</v>
      </c>
      <c r="C13" s="9" t="s">
        <v>53</v>
      </c>
      <c r="D13" s="10" t="s">
        <v>1213</v>
      </c>
    </row>
    <row r="14" customFormat="false" ht="15" hidden="false" customHeight="false" outlineLevel="0" collapsed="false">
      <c r="A14" s="9" t="s">
        <v>124</v>
      </c>
      <c r="B14" s="9" t="s">
        <v>125</v>
      </c>
      <c r="C14" s="9" t="s">
        <v>53</v>
      </c>
      <c r="D14" s="10" t="s">
        <v>1214</v>
      </c>
    </row>
    <row r="15" customFormat="false" ht="15" hidden="false" customHeight="false" outlineLevel="0" collapsed="false">
      <c r="A15" s="9" t="s">
        <v>124</v>
      </c>
      <c r="B15" s="9" t="s">
        <v>125</v>
      </c>
      <c r="C15" s="9" t="s">
        <v>53</v>
      </c>
      <c r="D15" s="10" t="s">
        <v>1215</v>
      </c>
    </row>
    <row r="16" customFormat="false" ht="15" hidden="false" customHeight="false" outlineLevel="0" collapsed="false">
      <c r="A16" s="9" t="s">
        <v>131</v>
      </c>
      <c r="B16" s="9" t="s">
        <v>132</v>
      </c>
      <c r="C16" s="9" t="s">
        <v>53</v>
      </c>
      <c r="D16" s="10" t="s">
        <v>108</v>
      </c>
    </row>
    <row r="17" customFormat="false" ht="15" hidden="false" customHeight="false" outlineLevel="0" collapsed="false">
      <c r="A17" s="9" t="s">
        <v>137</v>
      </c>
      <c r="B17" s="9" t="s">
        <v>138</v>
      </c>
      <c r="C17" s="9" t="s">
        <v>53</v>
      </c>
      <c r="D17" s="10" t="s">
        <v>1216</v>
      </c>
    </row>
    <row r="18" customFormat="false" ht="15" hidden="false" customHeight="false" outlineLevel="0" collapsed="false">
      <c r="A18" s="9" t="s">
        <v>137</v>
      </c>
      <c r="B18" s="9" t="s">
        <v>138</v>
      </c>
      <c r="C18" s="9" t="s">
        <v>53</v>
      </c>
      <c r="D18" s="10" t="s">
        <v>1217</v>
      </c>
    </row>
    <row r="19" customFormat="false" ht="15" hidden="false" customHeight="false" outlineLevel="0" collapsed="false">
      <c r="A19" s="9" t="s">
        <v>137</v>
      </c>
      <c r="B19" s="9" t="s">
        <v>138</v>
      </c>
      <c r="C19" s="9" t="s">
        <v>53</v>
      </c>
      <c r="D19" s="10" t="s">
        <v>1218</v>
      </c>
    </row>
    <row r="20" customFormat="false" ht="15" hidden="false" customHeight="false" outlineLevel="0" collapsed="false">
      <c r="A20" s="9" t="s">
        <v>137</v>
      </c>
      <c r="B20" s="9" t="s">
        <v>138</v>
      </c>
      <c r="C20" s="9" t="s">
        <v>53</v>
      </c>
      <c r="D20" s="10" t="s">
        <v>1219</v>
      </c>
    </row>
    <row r="21" customFormat="false" ht="15" hidden="false" customHeight="false" outlineLevel="0" collapsed="false">
      <c r="A21" s="9" t="s">
        <v>145</v>
      </c>
      <c r="B21" s="9" t="s">
        <v>146</v>
      </c>
      <c r="C21" s="9" t="s">
        <v>57</v>
      </c>
      <c r="D21" s="10" t="s">
        <v>1220</v>
      </c>
    </row>
    <row r="22" customFormat="false" ht="15" hidden="false" customHeight="false" outlineLevel="0" collapsed="false">
      <c r="A22" s="9" t="s">
        <v>145</v>
      </c>
      <c r="B22" s="9" t="s">
        <v>146</v>
      </c>
      <c r="C22" s="9" t="s">
        <v>57</v>
      </c>
      <c r="D22" s="10" t="s">
        <v>1221</v>
      </c>
    </row>
    <row r="23" customFormat="false" ht="15" hidden="false" customHeight="false" outlineLevel="0" collapsed="false">
      <c r="A23" s="9" t="s">
        <v>145</v>
      </c>
      <c r="B23" s="9" t="s">
        <v>146</v>
      </c>
      <c r="C23" s="9" t="s">
        <v>57</v>
      </c>
      <c r="D23" s="10" t="s">
        <v>1222</v>
      </c>
    </row>
    <row r="24" customFormat="false" ht="15" hidden="false" customHeight="false" outlineLevel="0" collapsed="false">
      <c r="A24" s="9" t="s">
        <v>153</v>
      </c>
      <c r="B24" s="9" t="s">
        <v>154</v>
      </c>
      <c r="C24" s="9" t="s">
        <v>57</v>
      </c>
      <c r="D24" s="10" t="s">
        <v>1223</v>
      </c>
    </row>
    <row r="25" customFormat="false" ht="15" hidden="false" customHeight="false" outlineLevel="0" collapsed="false">
      <c r="A25" s="9" t="s">
        <v>153</v>
      </c>
      <c r="B25" s="9" t="s">
        <v>154</v>
      </c>
      <c r="C25" s="9" t="s">
        <v>57</v>
      </c>
      <c r="D25" s="10" t="s">
        <v>1224</v>
      </c>
    </row>
    <row r="26" customFormat="false" ht="15" hidden="false" customHeight="false" outlineLevel="0" collapsed="false">
      <c r="A26" s="9" t="s">
        <v>153</v>
      </c>
      <c r="B26" s="9" t="s">
        <v>154</v>
      </c>
      <c r="C26" s="9" t="s">
        <v>57</v>
      </c>
      <c r="D26" s="10" t="s">
        <v>1225</v>
      </c>
    </row>
    <row r="27" customFormat="false" ht="15" hidden="false" customHeight="false" outlineLevel="0" collapsed="false">
      <c r="A27" s="9" t="s">
        <v>153</v>
      </c>
      <c r="B27" s="9" t="s">
        <v>154</v>
      </c>
      <c r="C27" s="9" t="s">
        <v>57</v>
      </c>
      <c r="D27" s="10" t="s">
        <v>1226</v>
      </c>
    </row>
    <row r="28" customFormat="false" ht="15" hidden="false" customHeight="false" outlineLevel="0" collapsed="false">
      <c r="A28" s="9" t="s">
        <v>161</v>
      </c>
      <c r="B28" s="9" t="s">
        <v>162</v>
      </c>
      <c r="C28" s="9" t="s">
        <v>57</v>
      </c>
      <c r="D28" s="10" t="s">
        <v>165</v>
      </c>
    </row>
    <row r="29" customFormat="false" ht="15" hidden="false" customHeight="false" outlineLevel="0" collapsed="false">
      <c r="A29" s="9" t="s">
        <v>166</v>
      </c>
      <c r="B29" s="9" t="s">
        <v>167</v>
      </c>
      <c r="C29" s="9" t="s">
        <v>57</v>
      </c>
      <c r="D29" s="10" t="s">
        <v>1227</v>
      </c>
    </row>
    <row r="30" customFormat="false" ht="15" hidden="false" customHeight="false" outlineLevel="0" collapsed="false">
      <c r="A30" s="9" t="s">
        <v>166</v>
      </c>
      <c r="B30" s="9" t="s">
        <v>167</v>
      </c>
      <c r="C30" s="9" t="s">
        <v>57</v>
      </c>
      <c r="D30" s="10" t="s">
        <v>1228</v>
      </c>
    </row>
    <row r="31" customFormat="false" ht="15" hidden="false" customHeight="false" outlineLevel="0" collapsed="false">
      <c r="A31" s="9" t="s">
        <v>166</v>
      </c>
      <c r="B31" s="9" t="s">
        <v>167</v>
      </c>
      <c r="C31" s="9" t="s">
        <v>57</v>
      </c>
      <c r="D31" s="10" t="s">
        <v>1229</v>
      </c>
    </row>
    <row r="32" customFormat="false" ht="15" hidden="false" customHeight="false" outlineLevel="0" collapsed="false">
      <c r="A32" s="9" t="s">
        <v>166</v>
      </c>
      <c r="B32" s="9" t="s">
        <v>167</v>
      </c>
      <c r="C32" s="9" t="s">
        <v>57</v>
      </c>
      <c r="D32" s="10" t="s">
        <v>1230</v>
      </c>
    </row>
    <row r="33" customFormat="false" ht="15" hidden="false" customHeight="false" outlineLevel="0" collapsed="false">
      <c r="A33" s="9" t="s">
        <v>166</v>
      </c>
      <c r="B33" s="9" t="s">
        <v>167</v>
      </c>
      <c r="C33" s="9" t="s">
        <v>57</v>
      </c>
      <c r="D33" s="10" t="s">
        <v>1231</v>
      </c>
    </row>
    <row r="34" customFormat="false" ht="15" hidden="false" customHeight="false" outlineLevel="0" collapsed="false">
      <c r="A34" s="9" t="s">
        <v>173</v>
      </c>
      <c r="B34" s="9" t="s">
        <v>174</v>
      </c>
      <c r="C34" s="9" t="s">
        <v>53</v>
      </c>
      <c r="D34" s="10" t="s">
        <v>1232</v>
      </c>
    </row>
    <row r="35" customFormat="false" ht="15" hidden="false" customHeight="false" outlineLevel="0" collapsed="false">
      <c r="A35" s="9" t="s">
        <v>173</v>
      </c>
      <c r="B35" s="9" t="s">
        <v>174</v>
      </c>
      <c r="C35" s="9" t="s">
        <v>53</v>
      </c>
      <c r="D35" s="10" t="s">
        <v>1233</v>
      </c>
    </row>
    <row r="36" customFormat="false" ht="15" hidden="false" customHeight="false" outlineLevel="0" collapsed="false">
      <c r="A36" s="9" t="s">
        <v>179</v>
      </c>
      <c r="B36" s="9" t="s">
        <v>180</v>
      </c>
      <c r="C36" s="9" t="s">
        <v>53</v>
      </c>
      <c r="D36" s="10" t="s">
        <v>1234</v>
      </c>
    </row>
    <row r="37" customFormat="false" ht="15" hidden="false" customHeight="false" outlineLevel="0" collapsed="false">
      <c r="A37" s="9" t="s">
        <v>179</v>
      </c>
      <c r="B37" s="9" t="s">
        <v>180</v>
      </c>
      <c r="C37" s="9" t="s">
        <v>53</v>
      </c>
      <c r="D37" s="10" t="s">
        <v>1235</v>
      </c>
    </row>
    <row r="38" customFormat="false" ht="15" hidden="false" customHeight="false" outlineLevel="0" collapsed="false">
      <c r="A38" s="9" t="s">
        <v>179</v>
      </c>
      <c r="B38" s="9" t="s">
        <v>180</v>
      </c>
      <c r="C38" s="9" t="s">
        <v>53</v>
      </c>
      <c r="D38" s="10" t="s">
        <v>182</v>
      </c>
    </row>
    <row r="39" customFormat="false" ht="15" hidden="false" customHeight="false" outlineLevel="0" collapsed="false">
      <c r="A39" s="9" t="s">
        <v>179</v>
      </c>
      <c r="B39" s="9" t="s">
        <v>180</v>
      </c>
      <c r="C39" s="9" t="s">
        <v>53</v>
      </c>
      <c r="D39" s="10" t="s">
        <v>1236</v>
      </c>
    </row>
    <row r="40" customFormat="false" ht="15" hidden="false" customHeight="false" outlineLevel="0" collapsed="false">
      <c r="A40" s="9" t="s">
        <v>179</v>
      </c>
      <c r="B40" s="9" t="s">
        <v>180</v>
      </c>
      <c r="C40" s="9" t="s">
        <v>53</v>
      </c>
      <c r="D40" s="10" t="s">
        <v>1237</v>
      </c>
    </row>
    <row r="41" customFormat="false" ht="15" hidden="false" customHeight="false" outlineLevel="0" collapsed="false">
      <c r="A41" s="9" t="s">
        <v>187</v>
      </c>
      <c r="B41" s="9" t="s">
        <v>188</v>
      </c>
      <c r="C41" s="9" t="s">
        <v>53</v>
      </c>
      <c r="D41" s="10" t="s">
        <v>1238</v>
      </c>
    </row>
    <row r="42" customFormat="false" ht="15" hidden="false" customHeight="false" outlineLevel="0" collapsed="false">
      <c r="A42" s="9" t="s">
        <v>187</v>
      </c>
      <c r="B42" s="9" t="s">
        <v>188</v>
      </c>
      <c r="C42" s="9" t="s">
        <v>53</v>
      </c>
      <c r="D42" s="10" t="s">
        <v>1239</v>
      </c>
    </row>
    <row r="43" customFormat="false" ht="15" hidden="false" customHeight="false" outlineLevel="0" collapsed="false">
      <c r="A43" s="9" t="s">
        <v>194</v>
      </c>
      <c r="B43" s="9" t="s">
        <v>195</v>
      </c>
      <c r="C43" s="9" t="s">
        <v>56</v>
      </c>
      <c r="D43" s="10" t="s">
        <v>1240</v>
      </c>
    </row>
    <row r="44" customFormat="false" ht="15" hidden="false" customHeight="false" outlineLevel="0" collapsed="false">
      <c r="A44" s="9" t="s">
        <v>194</v>
      </c>
      <c r="B44" s="9" t="s">
        <v>195</v>
      </c>
      <c r="C44" s="9" t="s">
        <v>56</v>
      </c>
      <c r="D44" s="10" t="s">
        <v>1241</v>
      </c>
    </row>
    <row r="45" customFormat="false" ht="15" hidden="false" customHeight="false" outlineLevel="0" collapsed="false">
      <c r="A45" s="9" t="s">
        <v>194</v>
      </c>
      <c r="B45" s="9" t="s">
        <v>195</v>
      </c>
      <c r="C45" s="9" t="s">
        <v>56</v>
      </c>
      <c r="D45" s="10" t="s">
        <v>1242</v>
      </c>
    </row>
    <row r="46" customFormat="false" ht="15" hidden="false" customHeight="false" outlineLevel="0" collapsed="false">
      <c r="A46" s="9" t="s">
        <v>194</v>
      </c>
      <c r="B46" s="9" t="s">
        <v>195</v>
      </c>
      <c r="C46" s="9" t="s">
        <v>56</v>
      </c>
      <c r="D46" s="10" t="s">
        <v>1243</v>
      </c>
    </row>
    <row r="47" customFormat="false" ht="15" hidden="false" customHeight="false" outlineLevel="0" collapsed="false">
      <c r="A47" s="9" t="s">
        <v>194</v>
      </c>
      <c r="B47" s="9" t="s">
        <v>195</v>
      </c>
      <c r="C47" s="9" t="s">
        <v>56</v>
      </c>
      <c r="D47" s="10" t="s">
        <v>1244</v>
      </c>
    </row>
    <row r="48" customFormat="false" ht="15" hidden="false" customHeight="false" outlineLevel="0" collapsed="false">
      <c r="A48" s="9" t="s">
        <v>194</v>
      </c>
      <c r="B48" s="9" t="s">
        <v>195</v>
      </c>
      <c r="C48" s="9" t="s">
        <v>56</v>
      </c>
      <c r="D48" s="10" t="s">
        <v>1245</v>
      </c>
    </row>
    <row r="49" customFormat="false" ht="15" hidden="false" customHeight="false" outlineLevel="0" collapsed="false">
      <c r="A49" s="9" t="s">
        <v>194</v>
      </c>
      <c r="B49" s="9" t="s">
        <v>195</v>
      </c>
      <c r="C49" s="9" t="s">
        <v>55</v>
      </c>
      <c r="D49" s="10" t="s">
        <v>991</v>
      </c>
    </row>
    <row r="50" customFormat="false" ht="15" hidden="false" customHeight="false" outlineLevel="0" collapsed="false">
      <c r="A50" s="9" t="s">
        <v>203</v>
      </c>
      <c r="B50" s="9" t="s">
        <v>204</v>
      </c>
      <c r="C50" s="9" t="s">
        <v>53</v>
      </c>
      <c r="D50" s="10" t="s">
        <v>1234</v>
      </c>
    </row>
    <row r="51" customFormat="false" ht="15" hidden="false" customHeight="false" outlineLevel="0" collapsed="false">
      <c r="A51" s="9" t="s">
        <v>203</v>
      </c>
      <c r="B51" s="9" t="s">
        <v>204</v>
      </c>
      <c r="C51" s="9" t="s">
        <v>53</v>
      </c>
      <c r="D51" s="10" t="s">
        <v>1235</v>
      </c>
    </row>
    <row r="52" customFormat="false" ht="15" hidden="false" customHeight="false" outlineLevel="0" collapsed="false">
      <c r="A52" s="9" t="s">
        <v>208</v>
      </c>
      <c r="B52" s="9" t="s">
        <v>209</v>
      </c>
      <c r="C52" s="9" t="s">
        <v>57</v>
      </c>
      <c r="D52" s="10" t="s">
        <v>1246</v>
      </c>
    </row>
    <row r="53" customFormat="false" ht="15" hidden="false" customHeight="false" outlineLevel="0" collapsed="false">
      <c r="A53" s="9" t="s">
        <v>208</v>
      </c>
      <c r="B53" s="9" t="s">
        <v>209</v>
      </c>
      <c r="C53" s="9" t="s">
        <v>57</v>
      </c>
      <c r="D53" s="10" t="s">
        <v>1247</v>
      </c>
    </row>
    <row r="54" customFormat="false" ht="15" hidden="false" customHeight="false" outlineLevel="0" collapsed="false">
      <c r="A54" s="9" t="s">
        <v>208</v>
      </c>
      <c r="B54" s="9" t="s">
        <v>209</v>
      </c>
      <c r="C54" s="9" t="s">
        <v>57</v>
      </c>
      <c r="D54" s="10" t="s">
        <v>1248</v>
      </c>
    </row>
    <row r="55" customFormat="false" ht="15" hidden="false" customHeight="false" outlineLevel="0" collapsed="false">
      <c r="A55" s="9" t="s">
        <v>212</v>
      </c>
      <c r="B55" s="9" t="s">
        <v>213</v>
      </c>
      <c r="C55" s="9" t="s">
        <v>57</v>
      </c>
      <c r="D55" s="10" t="s">
        <v>1249</v>
      </c>
    </row>
    <row r="56" customFormat="false" ht="15" hidden="false" customHeight="false" outlineLevel="0" collapsed="false">
      <c r="A56" s="9" t="s">
        <v>212</v>
      </c>
      <c r="B56" s="9" t="s">
        <v>213</v>
      </c>
      <c r="C56" s="9" t="s">
        <v>57</v>
      </c>
      <c r="D56" s="10" t="s">
        <v>1250</v>
      </c>
    </row>
    <row r="57" customFormat="false" ht="15" hidden="false" customHeight="false" outlineLevel="0" collapsed="false">
      <c r="A57" s="9" t="s">
        <v>212</v>
      </c>
      <c r="B57" s="9" t="s">
        <v>213</v>
      </c>
      <c r="C57" s="9" t="s">
        <v>57</v>
      </c>
      <c r="D57" s="10" t="s">
        <v>1251</v>
      </c>
    </row>
    <row r="58" customFormat="false" ht="15" hidden="false" customHeight="false" outlineLevel="0" collapsed="false">
      <c r="A58" s="9" t="s">
        <v>215</v>
      </c>
      <c r="B58" s="9" t="s">
        <v>216</v>
      </c>
      <c r="C58" s="9" t="s">
        <v>59</v>
      </c>
      <c r="D58" s="10" t="s">
        <v>1252</v>
      </c>
    </row>
    <row r="59" customFormat="false" ht="15" hidden="false" customHeight="false" outlineLevel="0" collapsed="false">
      <c r="A59" s="9" t="s">
        <v>215</v>
      </c>
      <c r="B59" s="9" t="s">
        <v>216</v>
      </c>
      <c r="C59" s="9" t="s">
        <v>59</v>
      </c>
      <c r="D59" s="10" t="s">
        <v>1253</v>
      </c>
    </row>
    <row r="60" customFormat="false" ht="15" hidden="false" customHeight="false" outlineLevel="0" collapsed="false">
      <c r="A60" s="9" t="s">
        <v>215</v>
      </c>
      <c r="B60" s="9" t="s">
        <v>216</v>
      </c>
      <c r="C60" s="9" t="s">
        <v>59</v>
      </c>
      <c r="D60" s="10" t="s">
        <v>1254</v>
      </c>
    </row>
    <row r="61" customFormat="false" ht="15" hidden="false" customHeight="false" outlineLevel="0" collapsed="false">
      <c r="A61" s="9" t="s">
        <v>215</v>
      </c>
      <c r="B61" s="9" t="s">
        <v>216</v>
      </c>
      <c r="C61" s="9" t="s">
        <v>59</v>
      </c>
      <c r="D61" s="10" t="s">
        <v>1255</v>
      </c>
    </row>
    <row r="62" customFormat="false" ht="15" hidden="false" customHeight="false" outlineLevel="0" collapsed="false">
      <c r="A62" s="9" t="s">
        <v>215</v>
      </c>
      <c r="B62" s="9" t="s">
        <v>216</v>
      </c>
      <c r="C62" s="9" t="s">
        <v>59</v>
      </c>
      <c r="D62" s="10" t="s">
        <v>1256</v>
      </c>
    </row>
    <row r="63" customFormat="false" ht="15" hidden="false" customHeight="false" outlineLevel="0" collapsed="false">
      <c r="A63" s="9" t="s">
        <v>215</v>
      </c>
      <c r="B63" s="9" t="s">
        <v>216</v>
      </c>
      <c r="C63" s="9" t="s">
        <v>59</v>
      </c>
      <c r="D63" s="10" t="s">
        <v>1257</v>
      </c>
    </row>
    <row r="64" customFormat="false" ht="15" hidden="false" customHeight="false" outlineLevel="0" collapsed="false">
      <c r="A64" s="9" t="s">
        <v>222</v>
      </c>
      <c r="B64" s="9" t="s">
        <v>223</v>
      </c>
      <c r="C64" s="9" t="s">
        <v>53</v>
      </c>
      <c r="D64" s="10" t="s">
        <v>227</v>
      </c>
    </row>
    <row r="65" customFormat="false" ht="15" hidden="false" customHeight="false" outlineLevel="0" collapsed="false">
      <c r="A65" s="9" t="s">
        <v>228</v>
      </c>
      <c r="B65" s="9" t="s">
        <v>229</v>
      </c>
      <c r="C65" s="9" t="s">
        <v>56</v>
      </c>
      <c r="D65" s="10" t="s">
        <v>232</v>
      </c>
    </row>
    <row r="66" customFormat="false" ht="15" hidden="false" customHeight="false" outlineLevel="0" collapsed="false">
      <c r="A66" s="9" t="s">
        <v>233</v>
      </c>
      <c r="B66" s="9" t="s">
        <v>234</v>
      </c>
      <c r="C66" s="9" t="s">
        <v>53</v>
      </c>
      <c r="D66" s="10" t="s">
        <v>1258</v>
      </c>
    </row>
    <row r="67" customFormat="false" ht="15" hidden="false" customHeight="false" outlineLevel="0" collapsed="false">
      <c r="A67" s="9" t="s">
        <v>233</v>
      </c>
      <c r="B67" s="9" t="s">
        <v>234</v>
      </c>
      <c r="C67" s="9" t="s">
        <v>53</v>
      </c>
      <c r="D67" s="10" t="s">
        <v>1259</v>
      </c>
    </row>
    <row r="68" customFormat="false" ht="15" hidden="false" customHeight="false" outlineLevel="0" collapsed="false">
      <c r="A68" s="9" t="s">
        <v>233</v>
      </c>
      <c r="B68" s="9" t="s">
        <v>234</v>
      </c>
      <c r="C68" s="9" t="s">
        <v>53</v>
      </c>
      <c r="D68" s="10" t="s">
        <v>1260</v>
      </c>
    </row>
    <row r="69" customFormat="false" ht="15" hidden="false" customHeight="false" outlineLevel="0" collapsed="false">
      <c r="A69" s="9" t="s">
        <v>240</v>
      </c>
      <c r="B69" s="9" t="s">
        <v>241</v>
      </c>
      <c r="C69" s="9" t="s">
        <v>55</v>
      </c>
      <c r="D69" s="10" t="s">
        <v>1261</v>
      </c>
    </row>
    <row r="70" customFormat="false" ht="15" hidden="false" customHeight="false" outlineLevel="0" collapsed="false">
      <c r="A70" s="9" t="s">
        <v>240</v>
      </c>
      <c r="B70" s="9" t="s">
        <v>241</v>
      </c>
      <c r="C70" s="9" t="s">
        <v>55</v>
      </c>
      <c r="D70" s="10" t="s">
        <v>1262</v>
      </c>
    </row>
    <row r="71" customFormat="false" ht="15" hidden="false" customHeight="false" outlineLevel="0" collapsed="false">
      <c r="A71" s="9" t="s">
        <v>240</v>
      </c>
      <c r="B71" s="9" t="s">
        <v>241</v>
      </c>
      <c r="C71" s="9" t="s">
        <v>55</v>
      </c>
      <c r="D71" s="10" t="s">
        <v>1263</v>
      </c>
    </row>
    <row r="72" customFormat="false" ht="15" hidden="false" customHeight="false" outlineLevel="0" collapsed="false">
      <c r="A72" s="9" t="s">
        <v>240</v>
      </c>
      <c r="B72" s="9" t="s">
        <v>241</v>
      </c>
      <c r="C72" s="9" t="s">
        <v>55</v>
      </c>
      <c r="D72" s="10" t="s">
        <v>1264</v>
      </c>
    </row>
    <row r="73" customFormat="false" ht="15" hidden="false" customHeight="false" outlineLevel="0" collapsed="false">
      <c r="A73" s="9" t="s">
        <v>240</v>
      </c>
      <c r="B73" s="9" t="s">
        <v>241</v>
      </c>
      <c r="C73" s="9" t="s">
        <v>55</v>
      </c>
      <c r="D73" s="10" t="s">
        <v>1265</v>
      </c>
    </row>
    <row r="74" customFormat="false" ht="15" hidden="false" customHeight="false" outlineLevel="0" collapsed="false">
      <c r="A74" s="9" t="s">
        <v>246</v>
      </c>
      <c r="B74" s="9" t="s">
        <v>247</v>
      </c>
      <c r="C74" s="9" t="s">
        <v>57</v>
      </c>
      <c r="D74" s="10" t="s">
        <v>1266</v>
      </c>
    </row>
    <row r="75" customFormat="false" ht="15" hidden="false" customHeight="false" outlineLevel="0" collapsed="false">
      <c r="A75" s="9" t="s">
        <v>246</v>
      </c>
      <c r="B75" s="9" t="s">
        <v>247</v>
      </c>
      <c r="C75" s="9" t="s">
        <v>57</v>
      </c>
      <c r="D75" s="10" t="s">
        <v>1267</v>
      </c>
    </row>
    <row r="76" customFormat="false" ht="15" hidden="false" customHeight="false" outlineLevel="0" collapsed="false">
      <c r="A76" s="9" t="s">
        <v>246</v>
      </c>
      <c r="B76" s="9" t="s">
        <v>247</v>
      </c>
      <c r="C76" s="9" t="s">
        <v>57</v>
      </c>
      <c r="D76" s="10" t="s">
        <v>1268</v>
      </c>
    </row>
    <row r="77" customFormat="false" ht="15" hidden="false" customHeight="false" outlineLevel="0" collapsed="false">
      <c r="A77" s="9" t="s">
        <v>250</v>
      </c>
      <c r="B77" s="9" t="s">
        <v>251</v>
      </c>
      <c r="C77" s="9" t="s">
        <v>54</v>
      </c>
      <c r="D77" s="10" t="s">
        <v>1269</v>
      </c>
    </row>
    <row r="78" customFormat="false" ht="15" hidden="false" customHeight="false" outlineLevel="0" collapsed="false">
      <c r="A78" s="9" t="s">
        <v>250</v>
      </c>
      <c r="B78" s="9" t="s">
        <v>251</v>
      </c>
      <c r="C78" s="9" t="s">
        <v>54</v>
      </c>
      <c r="D78" s="10" t="s">
        <v>1270</v>
      </c>
    </row>
    <row r="79" customFormat="false" ht="15" hidden="false" customHeight="false" outlineLevel="0" collapsed="false">
      <c r="A79" s="9" t="s">
        <v>259</v>
      </c>
      <c r="B79" s="9" t="s">
        <v>260</v>
      </c>
      <c r="C79" s="9" t="s">
        <v>53</v>
      </c>
      <c r="D79" s="10" t="s">
        <v>263</v>
      </c>
    </row>
    <row r="80" customFormat="false" ht="15" hidden="false" customHeight="false" outlineLevel="0" collapsed="false">
      <c r="A80" s="9" t="s">
        <v>264</v>
      </c>
      <c r="B80" s="9" t="s">
        <v>265</v>
      </c>
      <c r="C80" s="9" t="s">
        <v>58</v>
      </c>
      <c r="D80" s="10" t="s">
        <v>1271</v>
      </c>
    </row>
    <row r="81" customFormat="false" ht="15" hidden="false" customHeight="false" outlineLevel="0" collapsed="false">
      <c r="A81" s="9" t="s">
        <v>264</v>
      </c>
      <c r="B81" s="9" t="s">
        <v>265</v>
      </c>
      <c r="C81" s="9" t="s">
        <v>58</v>
      </c>
      <c r="D81" s="10" t="s">
        <v>1272</v>
      </c>
    </row>
    <row r="82" customFormat="false" ht="15" hidden="false" customHeight="false" outlineLevel="0" collapsed="false">
      <c r="A82" s="9" t="s">
        <v>271</v>
      </c>
      <c r="B82" s="9" t="s">
        <v>272</v>
      </c>
      <c r="C82" s="9" t="s">
        <v>55</v>
      </c>
      <c r="D82" s="10" t="s">
        <v>1273</v>
      </c>
    </row>
    <row r="83" customFormat="false" ht="15" hidden="false" customHeight="false" outlineLevel="0" collapsed="false">
      <c r="A83" s="9" t="s">
        <v>271</v>
      </c>
      <c r="B83" s="9" t="s">
        <v>272</v>
      </c>
      <c r="C83" s="9" t="s">
        <v>55</v>
      </c>
      <c r="D83" s="10" t="s">
        <v>1274</v>
      </c>
    </row>
    <row r="84" customFormat="false" ht="15" hidden="false" customHeight="false" outlineLevel="0" collapsed="false">
      <c r="A84" s="9" t="s">
        <v>271</v>
      </c>
      <c r="B84" s="9" t="s">
        <v>272</v>
      </c>
      <c r="C84" s="9" t="s">
        <v>55</v>
      </c>
      <c r="D84" s="10" t="s">
        <v>1275</v>
      </c>
    </row>
    <row r="85" customFormat="false" ht="15" hidden="false" customHeight="false" outlineLevel="0" collapsed="false">
      <c r="A85" s="9" t="s">
        <v>271</v>
      </c>
      <c r="B85" s="9" t="s">
        <v>272</v>
      </c>
      <c r="C85" s="9" t="s">
        <v>55</v>
      </c>
      <c r="D85" s="10" t="s">
        <v>1276</v>
      </c>
    </row>
    <row r="86" customFormat="false" ht="15" hidden="false" customHeight="false" outlineLevel="0" collapsed="false">
      <c r="A86" s="9" t="s">
        <v>277</v>
      </c>
      <c r="B86" s="9" t="s">
        <v>278</v>
      </c>
      <c r="C86" s="9" t="s">
        <v>58</v>
      </c>
      <c r="D86" s="10" t="s">
        <v>1277</v>
      </c>
    </row>
    <row r="87" customFormat="false" ht="15" hidden="false" customHeight="false" outlineLevel="0" collapsed="false">
      <c r="A87" s="9" t="s">
        <v>277</v>
      </c>
      <c r="B87" s="9" t="s">
        <v>278</v>
      </c>
      <c r="C87" s="9" t="s">
        <v>58</v>
      </c>
      <c r="D87" s="10" t="s">
        <v>1278</v>
      </c>
    </row>
    <row r="88" customFormat="false" ht="15" hidden="false" customHeight="false" outlineLevel="0" collapsed="false">
      <c r="A88" s="9" t="s">
        <v>283</v>
      </c>
      <c r="B88" s="9" t="s">
        <v>284</v>
      </c>
      <c r="C88" s="9" t="s">
        <v>57</v>
      </c>
      <c r="D88" s="10" t="s">
        <v>289</v>
      </c>
    </row>
    <row r="89" customFormat="false" ht="15" hidden="false" customHeight="false" outlineLevel="0" collapsed="false">
      <c r="A89" s="9" t="s">
        <v>290</v>
      </c>
      <c r="B89" s="9" t="s">
        <v>291</v>
      </c>
      <c r="C89" s="9" t="s">
        <v>57</v>
      </c>
      <c r="D89" s="10" t="s">
        <v>1279</v>
      </c>
    </row>
    <row r="90" customFormat="false" ht="15" hidden="false" customHeight="false" outlineLevel="0" collapsed="false">
      <c r="A90" s="9" t="s">
        <v>290</v>
      </c>
      <c r="B90" s="9" t="s">
        <v>291</v>
      </c>
      <c r="C90" s="9" t="s">
        <v>57</v>
      </c>
      <c r="D90" s="10" t="s">
        <v>1280</v>
      </c>
    </row>
    <row r="91" customFormat="false" ht="15" hidden="false" customHeight="false" outlineLevel="0" collapsed="false">
      <c r="A91" s="9" t="s">
        <v>290</v>
      </c>
      <c r="B91" s="9" t="s">
        <v>291</v>
      </c>
      <c r="C91" s="9" t="s">
        <v>57</v>
      </c>
      <c r="D91" s="10" t="s">
        <v>1281</v>
      </c>
    </row>
    <row r="92" customFormat="false" ht="15" hidden="false" customHeight="false" outlineLevel="0" collapsed="false">
      <c r="A92" s="9" t="s">
        <v>290</v>
      </c>
      <c r="B92" s="9" t="s">
        <v>291</v>
      </c>
      <c r="C92" s="9" t="s">
        <v>57</v>
      </c>
      <c r="D92" s="10" t="s">
        <v>1282</v>
      </c>
    </row>
    <row r="93" customFormat="false" ht="15" hidden="false" customHeight="false" outlineLevel="0" collapsed="false">
      <c r="A93" s="9" t="s">
        <v>294</v>
      </c>
      <c r="B93" s="9" t="s">
        <v>295</v>
      </c>
      <c r="C93" s="9" t="s">
        <v>57</v>
      </c>
      <c r="D93" s="10" t="s">
        <v>1283</v>
      </c>
    </row>
    <row r="94" customFormat="false" ht="15" hidden="false" customHeight="false" outlineLevel="0" collapsed="false">
      <c r="A94" s="9" t="s">
        <v>294</v>
      </c>
      <c r="B94" s="9" t="s">
        <v>295</v>
      </c>
      <c r="C94" s="9" t="s">
        <v>57</v>
      </c>
      <c r="D94" s="10" t="s">
        <v>1284</v>
      </c>
    </row>
    <row r="95" customFormat="false" ht="15" hidden="false" customHeight="false" outlineLevel="0" collapsed="false">
      <c r="A95" s="9" t="s">
        <v>294</v>
      </c>
      <c r="B95" s="9" t="s">
        <v>295</v>
      </c>
      <c r="C95" s="9" t="s">
        <v>57</v>
      </c>
      <c r="D95" s="10" t="s">
        <v>1285</v>
      </c>
    </row>
    <row r="96" customFormat="false" ht="15" hidden="false" customHeight="false" outlineLevel="0" collapsed="false">
      <c r="A96" s="9" t="s">
        <v>294</v>
      </c>
      <c r="B96" s="9" t="s">
        <v>295</v>
      </c>
      <c r="C96" s="9" t="s">
        <v>57</v>
      </c>
      <c r="D96" s="10" t="s">
        <v>1286</v>
      </c>
    </row>
    <row r="97" customFormat="false" ht="15" hidden="false" customHeight="false" outlineLevel="0" collapsed="false">
      <c r="A97" s="9" t="s">
        <v>301</v>
      </c>
      <c r="B97" s="9" t="s">
        <v>302</v>
      </c>
      <c r="C97" s="9" t="s">
        <v>53</v>
      </c>
      <c r="D97" s="10" t="s">
        <v>304</v>
      </c>
    </row>
    <row r="98" customFormat="false" ht="15" hidden="false" customHeight="false" outlineLevel="0" collapsed="false">
      <c r="A98" s="9" t="s">
        <v>301</v>
      </c>
      <c r="B98" s="9" t="s">
        <v>302</v>
      </c>
      <c r="C98" s="9" t="s">
        <v>53</v>
      </c>
      <c r="D98" s="10" t="s">
        <v>1287</v>
      </c>
    </row>
    <row r="99" customFormat="false" ht="15" hidden="false" customHeight="false" outlineLevel="0" collapsed="false">
      <c r="A99" s="9" t="s">
        <v>301</v>
      </c>
      <c r="B99" s="9" t="s">
        <v>302</v>
      </c>
      <c r="C99" s="9" t="s">
        <v>53</v>
      </c>
      <c r="D99" s="10" t="s">
        <v>1288</v>
      </c>
    </row>
    <row r="100" customFormat="false" ht="15" hidden="false" customHeight="false" outlineLevel="0" collapsed="false">
      <c r="A100" s="9" t="s">
        <v>301</v>
      </c>
      <c r="B100" s="9" t="s">
        <v>302</v>
      </c>
      <c r="C100" s="9" t="s">
        <v>53</v>
      </c>
      <c r="D100" s="10" t="s">
        <v>1289</v>
      </c>
    </row>
    <row r="101" customFormat="false" ht="15" hidden="false" customHeight="false" outlineLevel="0" collapsed="false">
      <c r="A101" s="9" t="s">
        <v>301</v>
      </c>
      <c r="B101" s="9" t="s">
        <v>302</v>
      </c>
      <c r="C101" s="9" t="s">
        <v>53</v>
      </c>
      <c r="D101" s="10" t="s">
        <v>1290</v>
      </c>
    </row>
    <row r="102" customFormat="false" ht="15" hidden="false" customHeight="false" outlineLevel="0" collapsed="false">
      <c r="A102" s="9" t="s">
        <v>301</v>
      </c>
      <c r="B102" s="9" t="s">
        <v>302</v>
      </c>
      <c r="C102" s="9" t="s">
        <v>54</v>
      </c>
      <c r="D102" s="10" t="s">
        <v>304</v>
      </c>
    </row>
    <row r="103" customFormat="false" ht="15" hidden="false" customHeight="false" outlineLevel="0" collapsed="false">
      <c r="A103" s="9" t="s">
        <v>301</v>
      </c>
      <c r="B103" s="9" t="s">
        <v>302</v>
      </c>
      <c r="C103" s="9" t="s">
        <v>54</v>
      </c>
      <c r="D103" s="10" t="s">
        <v>1291</v>
      </c>
    </row>
    <row r="104" customFormat="false" ht="15" hidden="false" customHeight="false" outlineLevel="0" collapsed="false">
      <c r="A104" s="9" t="s">
        <v>301</v>
      </c>
      <c r="B104" s="9" t="s">
        <v>302</v>
      </c>
      <c r="C104" s="9" t="s">
        <v>54</v>
      </c>
      <c r="D104" s="10" t="s">
        <v>1292</v>
      </c>
    </row>
    <row r="105" customFormat="false" ht="15" hidden="false" customHeight="false" outlineLevel="0" collapsed="false">
      <c r="A105" s="9" t="s">
        <v>312</v>
      </c>
      <c r="B105" s="9" t="s">
        <v>313</v>
      </c>
      <c r="C105" s="9" t="s">
        <v>54</v>
      </c>
      <c r="D105" s="10" t="s">
        <v>1293</v>
      </c>
    </row>
    <row r="106" customFormat="false" ht="15" hidden="false" customHeight="false" outlineLevel="0" collapsed="false">
      <c r="A106" s="9" t="s">
        <v>312</v>
      </c>
      <c r="B106" s="9" t="s">
        <v>313</v>
      </c>
      <c r="C106" s="9" t="s">
        <v>54</v>
      </c>
      <c r="D106" s="10" t="s">
        <v>1294</v>
      </c>
    </row>
    <row r="107" customFormat="false" ht="15" hidden="false" customHeight="false" outlineLevel="0" collapsed="false">
      <c r="A107" s="9" t="s">
        <v>312</v>
      </c>
      <c r="B107" s="9" t="s">
        <v>313</v>
      </c>
      <c r="C107" s="9" t="s">
        <v>54</v>
      </c>
      <c r="D107" s="10" t="s">
        <v>1295</v>
      </c>
    </row>
    <row r="108" customFormat="false" ht="15" hidden="false" customHeight="false" outlineLevel="0" collapsed="false">
      <c r="A108" s="9" t="s">
        <v>318</v>
      </c>
      <c r="B108" s="9" t="s">
        <v>319</v>
      </c>
      <c r="C108" s="9" t="s">
        <v>56</v>
      </c>
      <c r="D108" s="10" t="s">
        <v>1296</v>
      </c>
    </row>
    <row r="109" customFormat="false" ht="15" hidden="false" customHeight="false" outlineLevel="0" collapsed="false">
      <c r="A109" s="9" t="s">
        <v>318</v>
      </c>
      <c r="B109" s="9" t="s">
        <v>319</v>
      </c>
      <c r="C109" s="9" t="s">
        <v>56</v>
      </c>
      <c r="D109" s="10" t="s">
        <v>1297</v>
      </c>
    </row>
    <row r="110" customFormat="false" ht="15" hidden="false" customHeight="false" outlineLevel="0" collapsed="false">
      <c r="A110" s="9" t="s">
        <v>318</v>
      </c>
      <c r="B110" s="9" t="s">
        <v>319</v>
      </c>
      <c r="C110" s="9" t="s">
        <v>56</v>
      </c>
      <c r="D110" s="10" t="s">
        <v>1298</v>
      </c>
    </row>
    <row r="111" customFormat="false" ht="15" hidden="false" customHeight="false" outlineLevel="0" collapsed="false">
      <c r="A111" s="9" t="s">
        <v>323</v>
      </c>
      <c r="B111" s="9" t="s">
        <v>324</v>
      </c>
      <c r="C111" s="9" t="s">
        <v>53</v>
      </c>
      <c r="D111" s="10" t="s">
        <v>329</v>
      </c>
    </row>
    <row r="112" customFormat="false" ht="15" hidden="false" customHeight="false" outlineLevel="0" collapsed="false">
      <c r="A112" s="9" t="s">
        <v>330</v>
      </c>
      <c r="B112" s="9" t="s">
        <v>331</v>
      </c>
      <c r="C112" s="9" t="s">
        <v>57</v>
      </c>
      <c r="D112" s="10" t="s">
        <v>1299</v>
      </c>
    </row>
    <row r="113" customFormat="false" ht="15" hidden="false" customHeight="false" outlineLevel="0" collapsed="false">
      <c r="A113" s="9" t="s">
        <v>330</v>
      </c>
      <c r="B113" s="9" t="s">
        <v>331</v>
      </c>
      <c r="C113" s="9" t="s">
        <v>57</v>
      </c>
      <c r="D113" s="10" t="s">
        <v>1300</v>
      </c>
    </row>
    <row r="114" customFormat="false" ht="15" hidden="false" customHeight="false" outlineLevel="0" collapsed="false">
      <c r="A114" s="9" t="s">
        <v>330</v>
      </c>
      <c r="B114" s="9" t="s">
        <v>331</v>
      </c>
      <c r="C114" s="9" t="s">
        <v>57</v>
      </c>
      <c r="D114" s="10" t="s">
        <v>1301</v>
      </c>
    </row>
    <row r="115" customFormat="false" ht="15" hidden="false" customHeight="false" outlineLevel="0" collapsed="false">
      <c r="A115" s="9" t="s">
        <v>330</v>
      </c>
      <c r="B115" s="9" t="s">
        <v>331</v>
      </c>
      <c r="C115" s="9" t="s">
        <v>56</v>
      </c>
      <c r="D115" s="10" t="s">
        <v>1302</v>
      </c>
    </row>
    <row r="116" customFormat="false" ht="15" hidden="false" customHeight="false" outlineLevel="0" collapsed="false">
      <c r="A116" s="9" t="s">
        <v>330</v>
      </c>
      <c r="B116" s="9" t="s">
        <v>331</v>
      </c>
      <c r="C116" s="9" t="s">
        <v>56</v>
      </c>
      <c r="D116" s="10" t="s">
        <v>1301</v>
      </c>
    </row>
    <row r="117" customFormat="false" ht="15" hidden="false" customHeight="false" outlineLevel="0" collapsed="false">
      <c r="A117" s="9" t="s">
        <v>330</v>
      </c>
      <c r="B117" s="9" t="s">
        <v>331</v>
      </c>
      <c r="C117" s="9" t="s">
        <v>56</v>
      </c>
      <c r="D117" s="10" t="s">
        <v>1303</v>
      </c>
    </row>
    <row r="118" customFormat="false" ht="15" hidden="false" customHeight="false" outlineLevel="0" collapsed="false">
      <c r="A118" s="9" t="s">
        <v>330</v>
      </c>
      <c r="B118" s="9" t="s">
        <v>331</v>
      </c>
      <c r="C118" s="9" t="s">
        <v>56</v>
      </c>
      <c r="D118" s="10" t="s">
        <v>1304</v>
      </c>
    </row>
    <row r="119" customFormat="false" ht="15" hidden="false" customHeight="false" outlineLevel="0" collapsed="false">
      <c r="A119" s="9" t="s">
        <v>337</v>
      </c>
      <c r="B119" s="9" t="s">
        <v>338</v>
      </c>
      <c r="C119" s="9" t="s">
        <v>59</v>
      </c>
      <c r="D119" s="10" t="s">
        <v>340</v>
      </c>
    </row>
    <row r="120" customFormat="false" ht="15" hidden="false" customHeight="false" outlineLevel="0" collapsed="false">
      <c r="A120" s="9" t="s">
        <v>337</v>
      </c>
      <c r="B120" s="9" t="s">
        <v>338</v>
      </c>
      <c r="C120" s="9" t="s">
        <v>59</v>
      </c>
      <c r="D120" s="10" t="s">
        <v>1305</v>
      </c>
    </row>
    <row r="121" customFormat="false" ht="15" hidden="false" customHeight="false" outlineLevel="0" collapsed="false">
      <c r="A121" s="9" t="s">
        <v>337</v>
      </c>
      <c r="B121" s="9" t="s">
        <v>338</v>
      </c>
      <c r="C121" s="9" t="s">
        <v>59</v>
      </c>
      <c r="D121" s="10" t="s">
        <v>1306</v>
      </c>
    </row>
    <row r="122" customFormat="false" ht="15" hidden="false" customHeight="false" outlineLevel="0" collapsed="false">
      <c r="A122" s="9" t="s">
        <v>337</v>
      </c>
      <c r="B122" s="9" t="s">
        <v>338</v>
      </c>
      <c r="C122" s="9" t="s">
        <v>59</v>
      </c>
      <c r="D122" s="10" t="s">
        <v>1307</v>
      </c>
    </row>
    <row r="123" customFormat="false" ht="15" hidden="false" customHeight="false" outlineLevel="0" collapsed="false">
      <c r="A123" s="9" t="s">
        <v>337</v>
      </c>
      <c r="B123" s="9" t="s">
        <v>338</v>
      </c>
      <c r="C123" s="9" t="s">
        <v>59</v>
      </c>
      <c r="D123" s="10" t="s">
        <v>1308</v>
      </c>
    </row>
    <row r="124" customFormat="false" ht="15" hidden="false" customHeight="false" outlineLevel="0" collapsed="false">
      <c r="A124" s="9" t="s">
        <v>344</v>
      </c>
      <c r="B124" s="9" t="s">
        <v>345</v>
      </c>
      <c r="C124" s="9" t="s">
        <v>53</v>
      </c>
      <c r="D124" s="10" t="s">
        <v>350</v>
      </c>
    </row>
    <row r="125" customFormat="false" ht="15" hidden="false" customHeight="false" outlineLevel="0" collapsed="false">
      <c r="A125" s="9" t="s">
        <v>351</v>
      </c>
      <c r="B125" s="9" t="s">
        <v>352</v>
      </c>
      <c r="C125" s="9" t="s">
        <v>53</v>
      </c>
      <c r="D125" s="10" t="s">
        <v>1309</v>
      </c>
    </row>
    <row r="126" customFormat="false" ht="15" hidden="false" customHeight="false" outlineLevel="0" collapsed="false">
      <c r="A126" s="9" t="s">
        <v>351</v>
      </c>
      <c r="B126" s="9" t="s">
        <v>352</v>
      </c>
      <c r="C126" s="9" t="s">
        <v>53</v>
      </c>
      <c r="D126" s="10" t="s">
        <v>1258</v>
      </c>
    </row>
    <row r="127" customFormat="false" ht="15" hidden="false" customHeight="false" outlineLevel="0" collapsed="false">
      <c r="A127" s="9" t="s">
        <v>351</v>
      </c>
      <c r="B127" s="9" t="s">
        <v>352</v>
      </c>
      <c r="C127" s="9" t="s">
        <v>53</v>
      </c>
      <c r="D127" s="10" t="s">
        <v>1310</v>
      </c>
    </row>
    <row r="128" customFormat="false" ht="15" hidden="false" customHeight="false" outlineLevel="0" collapsed="false">
      <c r="A128" s="9" t="s">
        <v>358</v>
      </c>
      <c r="B128" s="9" t="s">
        <v>359</v>
      </c>
      <c r="C128" s="9" t="s">
        <v>56</v>
      </c>
      <c r="D128" s="10" t="s">
        <v>361</v>
      </c>
    </row>
    <row r="129" customFormat="false" ht="15" hidden="false" customHeight="false" outlineLevel="0" collapsed="false">
      <c r="A129" s="9" t="s">
        <v>362</v>
      </c>
      <c r="B129" s="9" t="s">
        <v>363</v>
      </c>
      <c r="C129" s="9" t="s">
        <v>55</v>
      </c>
      <c r="D129" s="10" t="s">
        <v>365</v>
      </c>
    </row>
    <row r="130" customFormat="false" ht="15" hidden="false" customHeight="false" outlineLevel="0" collapsed="false">
      <c r="A130" s="9" t="s">
        <v>362</v>
      </c>
      <c r="B130" s="9" t="s">
        <v>363</v>
      </c>
      <c r="C130" s="9" t="s">
        <v>55</v>
      </c>
      <c r="D130" s="10" t="s">
        <v>1311</v>
      </c>
    </row>
    <row r="131" customFormat="false" ht="15" hidden="false" customHeight="false" outlineLevel="0" collapsed="false">
      <c r="A131" s="9" t="s">
        <v>362</v>
      </c>
      <c r="B131" s="9" t="s">
        <v>363</v>
      </c>
      <c r="C131" s="9" t="s">
        <v>55</v>
      </c>
      <c r="D131" s="10" t="s">
        <v>1312</v>
      </c>
    </row>
    <row r="132" customFormat="false" ht="15" hidden="false" customHeight="false" outlineLevel="0" collapsed="false">
      <c r="A132" s="9" t="s">
        <v>368</v>
      </c>
      <c r="B132" s="9" t="s">
        <v>369</v>
      </c>
      <c r="C132" s="9" t="s">
        <v>53</v>
      </c>
      <c r="D132" s="10" t="s">
        <v>1313</v>
      </c>
    </row>
    <row r="133" customFormat="false" ht="15" hidden="false" customHeight="false" outlineLevel="0" collapsed="false">
      <c r="A133" s="9" t="s">
        <v>368</v>
      </c>
      <c r="B133" s="9" t="s">
        <v>369</v>
      </c>
      <c r="C133" s="9" t="s">
        <v>53</v>
      </c>
      <c r="D133" s="10" t="s">
        <v>1314</v>
      </c>
    </row>
    <row r="134" customFormat="false" ht="15" hidden="false" customHeight="false" outlineLevel="0" collapsed="false">
      <c r="A134" s="9" t="s">
        <v>368</v>
      </c>
      <c r="B134" s="9" t="s">
        <v>369</v>
      </c>
      <c r="C134" s="9" t="s">
        <v>53</v>
      </c>
      <c r="D134" s="10" t="s">
        <v>1315</v>
      </c>
    </row>
    <row r="135" customFormat="false" ht="15" hidden="false" customHeight="false" outlineLevel="0" collapsed="false">
      <c r="A135" s="9" t="s">
        <v>375</v>
      </c>
      <c r="B135" s="9" t="s">
        <v>376</v>
      </c>
      <c r="C135" s="9" t="s">
        <v>58</v>
      </c>
      <c r="D135" s="10" t="s">
        <v>1316</v>
      </c>
    </row>
    <row r="136" customFormat="false" ht="15" hidden="false" customHeight="false" outlineLevel="0" collapsed="false">
      <c r="A136" s="9" t="s">
        <v>375</v>
      </c>
      <c r="B136" s="9" t="s">
        <v>376</v>
      </c>
      <c r="C136" s="9" t="s">
        <v>58</v>
      </c>
      <c r="D136" s="10" t="s">
        <v>1317</v>
      </c>
    </row>
    <row r="137" customFormat="false" ht="15" hidden="false" customHeight="false" outlineLevel="0" collapsed="false">
      <c r="A137" s="9" t="s">
        <v>382</v>
      </c>
      <c r="B137" s="9" t="s">
        <v>383</v>
      </c>
      <c r="C137" s="9" t="s">
        <v>57</v>
      </c>
      <c r="D137" s="10" t="s">
        <v>1286</v>
      </c>
    </row>
    <row r="138" customFormat="false" ht="15" hidden="false" customHeight="false" outlineLevel="0" collapsed="false">
      <c r="A138" s="9" t="s">
        <v>382</v>
      </c>
      <c r="B138" s="9" t="s">
        <v>383</v>
      </c>
      <c r="C138" s="9" t="s">
        <v>57</v>
      </c>
      <c r="D138" s="10" t="s">
        <v>1318</v>
      </c>
    </row>
    <row r="139" customFormat="false" ht="15" hidden="false" customHeight="false" outlineLevel="0" collapsed="false">
      <c r="A139" s="9" t="s">
        <v>382</v>
      </c>
      <c r="B139" s="9" t="s">
        <v>383</v>
      </c>
      <c r="C139" s="9" t="s">
        <v>57</v>
      </c>
      <c r="D139" s="10" t="s">
        <v>1319</v>
      </c>
    </row>
    <row r="140" customFormat="false" ht="15" hidden="false" customHeight="false" outlineLevel="0" collapsed="false">
      <c r="A140" s="9" t="s">
        <v>382</v>
      </c>
      <c r="B140" s="9" t="s">
        <v>383</v>
      </c>
      <c r="C140" s="9" t="s">
        <v>57</v>
      </c>
      <c r="D140" s="10" t="s">
        <v>1320</v>
      </c>
    </row>
    <row r="141" customFormat="false" ht="15" hidden="false" customHeight="false" outlineLevel="0" collapsed="false">
      <c r="A141" s="9" t="s">
        <v>391</v>
      </c>
      <c r="B141" s="9" t="s">
        <v>392</v>
      </c>
      <c r="C141" s="9" t="s">
        <v>53</v>
      </c>
      <c r="D141" s="10" t="s">
        <v>1321</v>
      </c>
    </row>
    <row r="142" customFormat="false" ht="15" hidden="false" customHeight="false" outlineLevel="0" collapsed="false">
      <c r="A142" s="9" t="s">
        <v>391</v>
      </c>
      <c r="B142" s="9" t="s">
        <v>392</v>
      </c>
      <c r="C142" s="9" t="s">
        <v>53</v>
      </c>
      <c r="D142" s="10" t="s">
        <v>1322</v>
      </c>
    </row>
    <row r="143" customFormat="false" ht="15" hidden="false" customHeight="false" outlineLevel="0" collapsed="false">
      <c r="A143" s="9" t="s">
        <v>398</v>
      </c>
      <c r="B143" s="9" t="s">
        <v>399</v>
      </c>
      <c r="C143" s="9" t="s">
        <v>57</v>
      </c>
      <c r="D143" s="10" t="s">
        <v>1323</v>
      </c>
    </row>
    <row r="144" customFormat="false" ht="15" hidden="false" customHeight="false" outlineLevel="0" collapsed="false">
      <c r="A144" s="9" t="s">
        <v>398</v>
      </c>
      <c r="B144" s="9" t="s">
        <v>399</v>
      </c>
      <c r="C144" s="9" t="s">
        <v>57</v>
      </c>
      <c r="D144" s="10" t="s">
        <v>1324</v>
      </c>
    </row>
    <row r="145" customFormat="false" ht="15" hidden="false" customHeight="false" outlineLevel="0" collapsed="false">
      <c r="A145" s="9" t="s">
        <v>398</v>
      </c>
      <c r="B145" s="9" t="s">
        <v>399</v>
      </c>
      <c r="C145" s="9" t="s">
        <v>57</v>
      </c>
      <c r="D145" s="10" t="s">
        <v>1299</v>
      </c>
    </row>
    <row r="146" customFormat="false" ht="15" hidden="false" customHeight="false" outlineLevel="0" collapsed="false">
      <c r="A146" s="9" t="s">
        <v>398</v>
      </c>
      <c r="B146" s="9" t="s">
        <v>399</v>
      </c>
      <c r="C146" s="9" t="s">
        <v>57</v>
      </c>
      <c r="D146" s="10" t="s">
        <v>1303</v>
      </c>
    </row>
    <row r="147" customFormat="false" ht="15" hidden="false" customHeight="false" outlineLevel="0" collapsed="false">
      <c r="A147" s="9" t="s">
        <v>398</v>
      </c>
      <c r="B147" s="9" t="s">
        <v>399</v>
      </c>
      <c r="C147" s="9" t="s">
        <v>56</v>
      </c>
      <c r="D147" s="10" t="s">
        <v>1325</v>
      </c>
    </row>
    <row r="148" customFormat="false" ht="15" hidden="false" customHeight="false" outlineLevel="0" collapsed="false">
      <c r="A148" s="9" t="s">
        <v>398</v>
      </c>
      <c r="B148" s="9" t="s">
        <v>399</v>
      </c>
      <c r="C148" s="9" t="s">
        <v>56</v>
      </c>
      <c r="D148" s="10" t="s">
        <v>1326</v>
      </c>
    </row>
    <row r="149" customFormat="false" ht="15" hidden="false" customHeight="false" outlineLevel="0" collapsed="false">
      <c r="A149" s="9" t="s">
        <v>398</v>
      </c>
      <c r="B149" s="9" t="s">
        <v>399</v>
      </c>
      <c r="C149" s="9" t="s">
        <v>56</v>
      </c>
      <c r="D149" s="10" t="s">
        <v>1327</v>
      </c>
    </row>
    <row r="150" customFormat="false" ht="15" hidden="false" customHeight="false" outlineLevel="0" collapsed="false">
      <c r="A150" s="9" t="s">
        <v>398</v>
      </c>
      <c r="B150" s="9" t="s">
        <v>399</v>
      </c>
      <c r="C150" s="9" t="s">
        <v>56</v>
      </c>
      <c r="D150" s="10" t="s">
        <v>1328</v>
      </c>
    </row>
    <row r="151" customFormat="false" ht="15" hidden="false" customHeight="false" outlineLevel="0" collapsed="false">
      <c r="A151" s="9" t="s">
        <v>398</v>
      </c>
      <c r="B151" s="9" t="s">
        <v>399</v>
      </c>
      <c r="C151" s="9" t="s">
        <v>56</v>
      </c>
      <c r="D151" s="10" t="s">
        <v>1329</v>
      </c>
    </row>
    <row r="152" customFormat="false" ht="15" hidden="false" customHeight="false" outlineLevel="0" collapsed="false">
      <c r="A152" s="9" t="s">
        <v>398</v>
      </c>
      <c r="B152" s="9" t="s">
        <v>399</v>
      </c>
      <c r="C152" s="9" t="s">
        <v>56</v>
      </c>
      <c r="D152" s="10" t="s">
        <v>1330</v>
      </c>
    </row>
    <row r="153" customFormat="false" ht="15" hidden="false" customHeight="false" outlineLevel="0" collapsed="false">
      <c r="A153" s="9" t="s">
        <v>398</v>
      </c>
      <c r="B153" s="9" t="s">
        <v>399</v>
      </c>
      <c r="C153" s="9" t="s">
        <v>56</v>
      </c>
      <c r="D153" s="10" t="s">
        <v>1331</v>
      </c>
    </row>
    <row r="154" customFormat="false" ht="15" hidden="false" customHeight="false" outlineLevel="0" collapsed="false">
      <c r="A154" s="9" t="s">
        <v>398</v>
      </c>
      <c r="B154" s="9" t="s">
        <v>399</v>
      </c>
      <c r="C154" s="9" t="s">
        <v>56</v>
      </c>
      <c r="D154" s="10" t="s">
        <v>1332</v>
      </c>
    </row>
    <row r="155" customFormat="false" ht="15" hidden="false" customHeight="false" outlineLevel="0" collapsed="false">
      <c r="A155" s="9" t="s">
        <v>398</v>
      </c>
      <c r="B155" s="9" t="s">
        <v>399</v>
      </c>
      <c r="C155" s="9" t="s">
        <v>56</v>
      </c>
      <c r="D155" s="10" t="s">
        <v>1333</v>
      </c>
    </row>
    <row r="156" customFormat="false" ht="15" hidden="false" customHeight="false" outlineLevel="0" collapsed="false">
      <c r="A156" s="9" t="s">
        <v>398</v>
      </c>
      <c r="B156" s="9" t="s">
        <v>399</v>
      </c>
      <c r="C156" s="9" t="s">
        <v>56</v>
      </c>
      <c r="D156" s="10" t="s">
        <v>1334</v>
      </c>
    </row>
    <row r="157" customFormat="false" ht="15" hidden="false" customHeight="false" outlineLevel="0" collapsed="false">
      <c r="A157" s="9" t="s">
        <v>398</v>
      </c>
      <c r="B157" s="9" t="s">
        <v>399</v>
      </c>
      <c r="C157" s="9" t="s">
        <v>56</v>
      </c>
      <c r="D157" s="10" t="s">
        <v>1335</v>
      </c>
    </row>
    <row r="158" customFormat="false" ht="15" hidden="false" customHeight="false" outlineLevel="0" collapsed="false">
      <c r="A158" s="9" t="s">
        <v>398</v>
      </c>
      <c r="B158" s="9" t="s">
        <v>399</v>
      </c>
      <c r="C158" s="9" t="s">
        <v>56</v>
      </c>
      <c r="D158" s="10" t="s">
        <v>1336</v>
      </c>
    </row>
    <row r="159" customFormat="false" ht="15" hidden="false" customHeight="false" outlineLevel="0" collapsed="false">
      <c r="A159" s="9" t="s">
        <v>398</v>
      </c>
      <c r="B159" s="9" t="s">
        <v>399</v>
      </c>
      <c r="C159" s="9" t="s">
        <v>56</v>
      </c>
      <c r="D159" s="10" t="s">
        <v>1337</v>
      </c>
    </row>
    <row r="160" customFormat="false" ht="15" hidden="false" customHeight="false" outlineLevel="0" collapsed="false">
      <c r="A160" s="9" t="s">
        <v>398</v>
      </c>
      <c r="B160" s="9" t="s">
        <v>399</v>
      </c>
      <c r="C160" s="9" t="s">
        <v>56</v>
      </c>
      <c r="D160" s="10" t="s">
        <v>1338</v>
      </c>
    </row>
    <row r="161" customFormat="false" ht="15" hidden="false" customHeight="false" outlineLevel="0" collapsed="false">
      <c r="A161" s="9" t="s">
        <v>398</v>
      </c>
      <c r="B161" s="9" t="s">
        <v>399</v>
      </c>
      <c r="C161" s="9" t="s">
        <v>56</v>
      </c>
      <c r="D161" s="10" t="s">
        <v>1324</v>
      </c>
    </row>
    <row r="162" customFormat="false" ht="15" hidden="false" customHeight="false" outlineLevel="0" collapsed="false">
      <c r="A162" s="9" t="s">
        <v>398</v>
      </c>
      <c r="B162" s="9" t="s">
        <v>399</v>
      </c>
      <c r="C162" s="9" t="s">
        <v>56</v>
      </c>
      <c r="D162" s="10" t="s">
        <v>1339</v>
      </c>
    </row>
    <row r="163" customFormat="false" ht="15" hidden="false" customHeight="false" outlineLevel="0" collapsed="false">
      <c r="A163" s="9" t="s">
        <v>398</v>
      </c>
      <c r="B163" s="9" t="s">
        <v>399</v>
      </c>
      <c r="C163" s="9" t="s">
        <v>56</v>
      </c>
      <c r="D163" s="10" t="s">
        <v>1340</v>
      </c>
    </row>
    <row r="164" customFormat="false" ht="15" hidden="false" customHeight="false" outlineLevel="0" collapsed="false">
      <c r="A164" s="9" t="s">
        <v>405</v>
      </c>
      <c r="B164" s="9" t="s">
        <v>406</v>
      </c>
      <c r="C164" s="9" t="s">
        <v>56</v>
      </c>
      <c r="D164" s="10" t="s">
        <v>1341</v>
      </c>
    </row>
    <row r="165" customFormat="false" ht="15" hidden="false" customHeight="false" outlineLevel="0" collapsed="false">
      <c r="A165" s="9" t="s">
        <v>405</v>
      </c>
      <c r="B165" s="9" t="s">
        <v>406</v>
      </c>
      <c r="C165" s="9" t="s">
        <v>56</v>
      </c>
      <c r="D165" s="10" t="s">
        <v>1342</v>
      </c>
    </row>
    <row r="166" customFormat="false" ht="15" hidden="false" customHeight="false" outlineLevel="0" collapsed="false">
      <c r="A166" s="9" t="s">
        <v>405</v>
      </c>
      <c r="B166" s="9" t="s">
        <v>406</v>
      </c>
      <c r="C166" s="9" t="s">
        <v>56</v>
      </c>
      <c r="D166" s="10" t="s">
        <v>1343</v>
      </c>
    </row>
    <row r="167" customFormat="false" ht="15" hidden="false" customHeight="false" outlineLevel="0" collapsed="false">
      <c r="A167" s="9" t="s">
        <v>405</v>
      </c>
      <c r="B167" s="9" t="s">
        <v>406</v>
      </c>
      <c r="C167" s="9" t="s">
        <v>56</v>
      </c>
      <c r="D167" s="10" t="s">
        <v>1344</v>
      </c>
    </row>
    <row r="168" customFormat="false" ht="15" hidden="false" customHeight="false" outlineLevel="0" collapsed="false">
      <c r="A168" s="9" t="s">
        <v>405</v>
      </c>
      <c r="B168" s="9" t="s">
        <v>406</v>
      </c>
      <c r="C168" s="9" t="s">
        <v>56</v>
      </c>
      <c r="D168" s="10" t="s">
        <v>408</v>
      </c>
    </row>
    <row r="169" customFormat="false" ht="15" hidden="false" customHeight="false" outlineLevel="0" collapsed="false">
      <c r="A169" s="9" t="s">
        <v>411</v>
      </c>
      <c r="B169" s="9" t="s">
        <v>412</v>
      </c>
      <c r="C169" s="9" t="s">
        <v>56</v>
      </c>
      <c r="D169" s="10" t="s">
        <v>415</v>
      </c>
    </row>
    <row r="170" customFormat="false" ht="15" hidden="false" customHeight="false" outlineLevel="0" collapsed="false">
      <c r="A170" s="9" t="s">
        <v>416</v>
      </c>
      <c r="B170" s="9" t="s">
        <v>417</v>
      </c>
      <c r="C170" s="9" t="s">
        <v>53</v>
      </c>
      <c r="D170" s="10" t="s">
        <v>421</v>
      </c>
    </row>
    <row r="171" customFormat="false" ht="15" hidden="false" customHeight="false" outlineLevel="0" collapsed="false">
      <c r="A171" s="9" t="s">
        <v>422</v>
      </c>
      <c r="B171" s="9" t="s">
        <v>423</v>
      </c>
      <c r="C171" s="9" t="s">
        <v>54</v>
      </c>
      <c r="D171" s="10" t="s">
        <v>1345</v>
      </c>
    </row>
    <row r="172" customFormat="false" ht="15" hidden="false" customHeight="false" outlineLevel="0" collapsed="false">
      <c r="A172" s="9" t="s">
        <v>422</v>
      </c>
      <c r="B172" s="9" t="s">
        <v>423</v>
      </c>
      <c r="C172" s="9" t="s">
        <v>54</v>
      </c>
      <c r="D172" s="10" t="s">
        <v>1346</v>
      </c>
    </row>
    <row r="173" customFormat="false" ht="15" hidden="false" customHeight="false" outlineLevel="0" collapsed="false">
      <c r="A173" s="9" t="s">
        <v>422</v>
      </c>
      <c r="B173" s="9" t="s">
        <v>423</v>
      </c>
      <c r="C173" s="9" t="s">
        <v>54</v>
      </c>
      <c r="D173" s="10" t="s">
        <v>1347</v>
      </c>
    </row>
    <row r="174" customFormat="false" ht="15" hidden="false" customHeight="false" outlineLevel="0" collapsed="false">
      <c r="A174" s="9" t="s">
        <v>422</v>
      </c>
      <c r="B174" s="9" t="s">
        <v>423</v>
      </c>
      <c r="C174" s="9" t="s">
        <v>54</v>
      </c>
      <c r="D174" s="10" t="s">
        <v>1348</v>
      </c>
    </row>
    <row r="175" customFormat="false" ht="15" hidden="false" customHeight="false" outlineLevel="0" collapsed="false">
      <c r="A175" s="9" t="s">
        <v>422</v>
      </c>
      <c r="B175" s="9" t="s">
        <v>423</v>
      </c>
      <c r="C175" s="9" t="s">
        <v>54</v>
      </c>
      <c r="D175" s="10" t="s">
        <v>1349</v>
      </c>
    </row>
    <row r="176" customFormat="false" ht="15" hidden="false" customHeight="false" outlineLevel="0" collapsed="false">
      <c r="A176" s="9" t="s">
        <v>431</v>
      </c>
      <c r="B176" s="9" t="s">
        <v>432</v>
      </c>
      <c r="C176" s="9" t="s">
        <v>54</v>
      </c>
      <c r="D176" s="10" t="s">
        <v>1345</v>
      </c>
    </row>
    <row r="177" customFormat="false" ht="15" hidden="false" customHeight="false" outlineLevel="0" collapsed="false">
      <c r="A177" s="9" t="s">
        <v>431</v>
      </c>
      <c r="B177" s="9" t="s">
        <v>432</v>
      </c>
      <c r="C177" s="9" t="s">
        <v>54</v>
      </c>
      <c r="D177" s="10" t="s">
        <v>1350</v>
      </c>
    </row>
    <row r="178" customFormat="false" ht="15" hidden="false" customHeight="false" outlineLevel="0" collapsed="false">
      <c r="A178" s="9" t="s">
        <v>431</v>
      </c>
      <c r="B178" s="9" t="s">
        <v>432</v>
      </c>
      <c r="C178" s="9" t="s">
        <v>54</v>
      </c>
      <c r="D178" s="10" t="s">
        <v>1349</v>
      </c>
    </row>
    <row r="179" customFormat="false" ht="15" hidden="false" customHeight="false" outlineLevel="0" collapsed="false">
      <c r="A179" s="9" t="s">
        <v>431</v>
      </c>
      <c r="B179" s="9" t="s">
        <v>432</v>
      </c>
      <c r="C179" s="9" t="s">
        <v>54</v>
      </c>
      <c r="D179" s="10" t="s">
        <v>1351</v>
      </c>
    </row>
    <row r="180" customFormat="false" ht="15" hidden="false" customHeight="false" outlineLevel="0" collapsed="false">
      <c r="A180" s="9" t="s">
        <v>437</v>
      </c>
      <c r="B180" s="9" t="s">
        <v>438</v>
      </c>
      <c r="C180" s="9" t="s">
        <v>56</v>
      </c>
      <c r="D180" s="10" t="s">
        <v>439</v>
      </c>
    </row>
    <row r="181" customFormat="false" ht="15" hidden="false" customHeight="false" outlineLevel="0" collapsed="false">
      <c r="A181" s="9" t="s">
        <v>437</v>
      </c>
      <c r="B181" s="9" t="s">
        <v>438</v>
      </c>
      <c r="C181" s="9" t="s">
        <v>56</v>
      </c>
      <c r="D181" s="10" t="s">
        <v>1352</v>
      </c>
    </row>
    <row r="182" customFormat="false" ht="15" hidden="false" customHeight="false" outlineLevel="0" collapsed="false">
      <c r="A182" s="9" t="s">
        <v>437</v>
      </c>
      <c r="B182" s="9" t="s">
        <v>438</v>
      </c>
      <c r="C182" s="9" t="s">
        <v>56</v>
      </c>
      <c r="D182" s="10" t="s">
        <v>1353</v>
      </c>
    </row>
    <row r="183" customFormat="false" ht="15" hidden="false" customHeight="false" outlineLevel="0" collapsed="false">
      <c r="A183" s="9" t="s">
        <v>442</v>
      </c>
      <c r="B183" s="9" t="s">
        <v>443</v>
      </c>
      <c r="C183" s="9" t="s">
        <v>53</v>
      </c>
      <c r="D183" s="10" t="s">
        <v>446</v>
      </c>
    </row>
    <row r="184" customFormat="false" ht="15" hidden="false" customHeight="false" outlineLevel="0" collapsed="false">
      <c r="A184" s="9" t="s">
        <v>447</v>
      </c>
      <c r="B184" s="9" t="s">
        <v>448</v>
      </c>
      <c r="C184" s="9" t="s">
        <v>57</v>
      </c>
      <c r="D184" s="10" t="s">
        <v>1354</v>
      </c>
    </row>
    <row r="185" customFormat="false" ht="15" hidden="false" customHeight="false" outlineLevel="0" collapsed="false">
      <c r="A185" s="9" t="s">
        <v>447</v>
      </c>
      <c r="B185" s="9" t="s">
        <v>448</v>
      </c>
      <c r="C185" s="9" t="s">
        <v>57</v>
      </c>
      <c r="D185" s="10" t="s">
        <v>1355</v>
      </c>
    </row>
    <row r="186" customFormat="false" ht="15" hidden="false" customHeight="false" outlineLevel="0" collapsed="false">
      <c r="A186" s="9" t="s">
        <v>447</v>
      </c>
      <c r="B186" s="9" t="s">
        <v>448</v>
      </c>
      <c r="C186" s="9" t="s">
        <v>57</v>
      </c>
      <c r="D186" s="10" t="s">
        <v>1356</v>
      </c>
    </row>
    <row r="187" customFormat="false" ht="15" hidden="false" customHeight="false" outlineLevel="0" collapsed="false">
      <c r="A187" s="9" t="s">
        <v>452</v>
      </c>
      <c r="B187" s="9" t="s">
        <v>453</v>
      </c>
      <c r="C187" s="9" t="s">
        <v>56</v>
      </c>
      <c r="D187" s="10" t="s">
        <v>456</v>
      </c>
    </row>
    <row r="188" customFormat="false" ht="15" hidden="false" customHeight="false" outlineLevel="0" collapsed="false">
      <c r="A188" s="9" t="s">
        <v>457</v>
      </c>
      <c r="B188" s="9" t="s">
        <v>458</v>
      </c>
      <c r="C188" s="9" t="s">
        <v>53</v>
      </c>
      <c r="D188" s="10" t="s">
        <v>463</v>
      </c>
    </row>
    <row r="189" customFormat="false" ht="15" hidden="false" customHeight="false" outlineLevel="0" collapsed="false">
      <c r="A189" s="9" t="s">
        <v>464</v>
      </c>
      <c r="B189" s="9" t="s">
        <v>465</v>
      </c>
      <c r="C189" s="9" t="s">
        <v>56</v>
      </c>
      <c r="D189" s="10" t="s">
        <v>1357</v>
      </c>
    </row>
    <row r="190" customFormat="false" ht="15" hidden="false" customHeight="false" outlineLevel="0" collapsed="false">
      <c r="A190" s="9" t="s">
        <v>464</v>
      </c>
      <c r="B190" s="9" t="s">
        <v>465</v>
      </c>
      <c r="C190" s="9" t="s">
        <v>56</v>
      </c>
      <c r="D190" s="10" t="s">
        <v>1358</v>
      </c>
    </row>
    <row r="191" customFormat="false" ht="15" hidden="false" customHeight="false" outlineLevel="0" collapsed="false">
      <c r="A191" s="9" t="s">
        <v>464</v>
      </c>
      <c r="B191" s="9" t="s">
        <v>465</v>
      </c>
      <c r="C191" s="9" t="s">
        <v>56</v>
      </c>
      <c r="D191" s="10" t="s">
        <v>1359</v>
      </c>
    </row>
    <row r="192" customFormat="false" ht="15" hidden="false" customHeight="false" outlineLevel="0" collapsed="false">
      <c r="A192" s="9" t="s">
        <v>464</v>
      </c>
      <c r="B192" s="9" t="s">
        <v>465</v>
      </c>
      <c r="C192" s="9" t="s">
        <v>56</v>
      </c>
      <c r="D192" s="10" t="s">
        <v>1360</v>
      </c>
    </row>
    <row r="193" customFormat="false" ht="15" hidden="false" customHeight="false" outlineLevel="0" collapsed="false">
      <c r="A193" s="9" t="s">
        <v>464</v>
      </c>
      <c r="B193" s="9" t="s">
        <v>465</v>
      </c>
      <c r="C193" s="9" t="s">
        <v>56</v>
      </c>
      <c r="D193" s="10" t="s">
        <v>1361</v>
      </c>
    </row>
    <row r="194" customFormat="false" ht="15" hidden="false" customHeight="false" outlineLevel="0" collapsed="false">
      <c r="A194" s="9" t="s">
        <v>471</v>
      </c>
      <c r="B194" s="9" t="s">
        <v>360</v>
      </c>
      <c r="C194" s="9" t="s">
        <v>56</v>
      </c>
      <c r="D194" s="10" t="s">
        <v>473</v>
      </c>
    </row>
    <row r="195" customFormat="false" ht="15" hidden="false" customHeight="false" outlineLevel="0" collapsed="false">
      <c r="A195" s="9" t="s">
        <v>474</v>
      </c>
      <c r="B195" s="9" t="s">
        <v>475</v>
      </c>
      <c r="C195" s="9" t="s">
        <v>58</v>
      </c>
      <c r="D195" s="10" t="s">
        <v>1362</v>
      </c>
    </row>
    <row r="196" customFormat="false" ht="15" hidden="false" customHeight="false" outlineLevel="0" collapsed="false">
      <c r="A196" s="9" t="s">
        <v>474</v>
      </c>
      <c r="B196" s="9" t="s">
        <v>475</v>
      </c>
      <c r="C196" s="9" t="s">
        <v>58</v>
      </c>
      <c r="D196" s="10" t="s">
        <v>1363</v>
      </c>
    </row>
    <row r="197" customFormat="false" ht="15" hidden="false" customHeight="false" outlineLevel="0" collapsed="false">
      <c r="A197" s="9" t="s">
        <v>474</v>
      </c>
      <c r="B197" s="9" t="s">
        <v>475</v>
      </c>
      <c r="C197" s="9" t="s">
        <v>58</v>
      </c>
      <c r="D197" s="10" t="s">
        <v>1364</v>
      </c>
    </row>
    <row r="198" customFormat="false" ht="15" hidden="false" customHeight="false" outlineLevel="0" collapsed="false">
      <c r="A198" s="9" t="s">
        <v>480</v>
      </c>
      <c r="B198" s="9" t="s">
        <v>481</v>
      </c>
      <c r="C198" s="9" t="s">
        <v>56</v>
      </c>
      <c r="D198" s="10" t="s">
        <v>483</v>
      </c>
    </row>
    <row r="199" customFormat="false" ht="15" hidden="false" customHeight="false" outlineLevel="0" collapsed="false">
      <c r="A199" s="9" t="s">
        <v>484</v>
      </c>
      <c r="B199" s="9" t="s">
        <v>485</v>
      </c>
      <c r="C199" s="9" t="s">
        <v>56</v>
      </c>
      <c r="D199" s="10" t="s">
        <v>489</v>
      </c>
    </row>
    <row r="200" customFormat="false" ht="15" hidden="false" customHeight="false" outlineLevel="0" collapsed="false">
      <c r="A200" s="9" t="s">
        <v>490</v>
      </c>
      <c r="B200" s="9" t="s">
        <v>491</v>
      </c>
      <c r="C200" s="9" t="s">
        <v>53</v>
      </c>
      <c r="D200" s="10" t="s">
        <v>495</v>
      </c>
    </row>
    <row r="201" customFormat="false" ht="15" hidden="false" customHeight="false" outlineLevel="0" collapsed="false">
      <c r="A201" s="9" t="s">
        <v>496</v>
      </c>
      <c r="B201" s="9" t="s">
        <v>497</v>
      </c>
      <c r="C201" s="9" t="s">
        <v>53</v>
      </c>
      <c r="D201" s="10" t="s">
        <v>501</v>
      </c>
    </row>
    <row r="202" customFormat="false" ht="15" hidden="false" customHeight="false" outlineLevel="0" collapsed="false">
      <c r="A202" s="9" t="s">
        <v>502</v>
      </c>
      <c r="B202" s="9" t="s">
        <v>503</v>
      </c>
      <c r="C202" s="9" t="s">
        <v>56</v>
      </c>
      <c r="D202" s="10" t="s">
        <v>1365</v>
      </c>
    </row>
    <row r="203" customFormat="false" ht="15" hidden="false" customHeight="false" outlineLevel="0" collapsed="false">
      <c r="A203" s="9" t="s">
        <v>502</v>
      </c>
      <c r="B203" s="9" t="s">
        <v>503</v>
      </c>
      <c r="C203" s="9" t="s">
        <v>56</v>
      </c>
      <c r="D203" s="10" t="s">
        <v>1366</v>
      </c>
    </row>
    <row r="204" customFormat="false" ht="15" hidden="false" customHeight="false" outlineLevel="0" collapsed="false">
      <c r="A204" s="9" t="s">
        <v>502</v>
      </c>
      <c r="B204" s="9" t="s">
        <v>503</v>
      </c>
      <c r="C204" s="9" t="s">
        <v>56</v>
      </c>
      <c r="D204" s="10" t="s">
        <v>1367</v>
      </c>
    </row>
    <row r="205" customFormat="false" ht="15" hidden="false" customHeight="false" outlineLevel="0" collapsed="false">
      <c r="A205" s="9" t="s">
        <v>502</v>
      </c>
      <c r="B205" s="9" t="s">
        <v>503</v>
      </c>
      <c r="C205" s="9" t="s">
        <v>56</v>
      </c>
      <c r="D205" s="10" t="s">
        <v>1368</v>
      </c>
    </row>
    <row r="206" customFormat="false" ht="15" hidden="false" customHeight="false" outlineLevel="0" collapsed="false">
      <c r="A206" s="9" t="s">
        <v>506</v>
      </c>
      <c r="B206" s="9" t="s">
        <v>507</v>
      </c>
      <c r="C206" s="9" t="s">
        <v>57</v>
      </c>
      <c r="D206" s="10" t="s">
        <v>511</v>
      </c>
    </row>
    <row r="207" customFormat="false" ht="15" hidden="false" customHeight="false" outlineLevel="0" collapsed="false">
      <c r="A207" s="9" t="s">
        <v>512</v>
      </c>
      <c r="B207" s="9" t="s">
        <v>513</v>
      </c>
      <c r="C207" s="9" t="s">
        <v>53</v>
      </c>
      <c r="D207" s="10" t="s">
        <v>517</v>
      </c>
    </row>
    <row r="208" customFormat="false" ht="15" hidden="false" customHeight="false" outlineLevel="0" collapsed="false">
      <c r="A208" s="9" t="s">
        <v>518</v>
      </c>
      <c r="B208" s="9" t="s">
        <v>519</v>
      </c>
      <c r="C208" s="9" t="s">
        <v>53</v>
      </c>
      <c r="D208" s="10" t="s">
        <v>521</v>
      </c>
    </row>
    <row r="209" customFormat="false" ht="15" hidden="false" customHeight="false" outlineLevel="0" collapsed="false">
      <c r="A209" s="9" t="s">
        <v>518</v>
      </c>
      <c r="B209" s="9" t="s">
        <v>519</v>
      </c>
      <c r="C209" s="9" t="s">
        <v>53</v>
      </c>
      <c r="D209" s="10" t="s">
        <v>1369</v>
      </c>
    </row>
    <row r="210" customFormat="false" ht="15" hidden="false" customHeight="false" outlineLevel="0" collapsed="false">
      <c r="A210" s="9" t="s">
        <v>518</v>
      </c>
      <c r="B210" s="9" t="s">
        <v>519</v>
      </c>
      <c r="C210" s="9" t="s">
        <v>53</v>
      </c>
      <c r="D210" s="10" t="s">
        <v>1370</v>
      </c>
    </row>
    <row r="211" customFormat="false" ht="15" hidden="false" customHeight="false" outlineLevel="0" collapsed="false">
      <c r="A211" s="9" t="s">
        <v>518</v>
      </c>
      <c r="B211" s="9" t="s">
        <v>519</v>
      </c>
      <c r="C211" s="9" t="s">
        <v>53</v>
      </c>
      <c r="D211" s="10" t="s">
        <v>1371</v>
      </c>
    </row>
    <row r="212" customFormat="false" ht="15" hidden="false" customHeight="false" outlineLevel="0" collapsed="false">
      <c r="A212" s="9" t="s">
        <v>518</v>
      </c>
      <c r="B212" s="9" t="s">
        <v>519</v>
      </c>
      <c r="C212" s="9" t="s">
        <v>53</v>
      </c>
      <c r="D212" s="10" t="s">
        <v>1372</v>
      </c>
    </row>
    <row r="213" customFormat="false" ht="15" hidden="false" customHeight="false" outlineLevel="0" collapsed="false">
      <c r="A213" s="9" t="s">
        <v>518</v>
      </c>
      <c r="B213" s="9" t="s">
        <v>519</v>
      </c>
      <c r="C213" s="9" t="s">
        <v>54</v>
      </c>
      <c r="D213" s="10" t="s">
        <v>1373</v>
      </c>
    </row>
    <row r="214" customFormat="false" ht="15" hidden="false" customHeight="false" outlineLevel="0" collapsed="false">
      <c r="A214" s="9" t="s">
        <v>518</v>
      </c>
      <c r="B214" s="9" t="s">
        <v>519</v>
      </c>
      <c r="C214" s="9" t="s">
        <v>54</v>
      </c>
      <c r="D214" s="10" t="s">
        <v>1374</v>
      </c>
    </row>
    <row r="215" customFormat="false" ht="15" hidden="false" customHeight="false" outlineLevel="0" collapsed="false">
      <c r="A215" s="9" t="s">
        <v>518</v>
      </c>
      <c r="B215" s="9" t="s">
        <v>519</v>
      </c>
      <c r="C215" s="9" t="s">
        <v>54</v>
      </c>
      <c r="D215" s="10" t="s">
        <v>1375</v>
      </c>
    </row>
    <row r="216" customFormat="false" ht="15" hidden="false" customHeight="false" outlineLevel="0" collapsed="false">
      <c r="A216" s="9" t="s">
        <v>518</v>
      </c>
      <c r="B216" s="9" t="s">
        <v>519</v>
      </c>
      <c r="C216" s="9" t="s">
        <v>54</v>
      </c>
      <c r="D216" s="10" t="s">
        <v>1376</v>
      </c>
    </row>
    <row r="217" customFormat="false" ht="15" hidden="false" customHeight="false" outlineLevel="0" collapsed="false">
      <c r="A217" s="9" t="s">
        <v>518</v>
      </c>
      <c r="B217" s="9" t="s">
        <v>519</v>
      </c>
      <c r="C217" s="9" t="s">
        <v>54</v>
      </c>
      <c r="D217" s="10" t="s">
        <v>1371</v>
      </c>
    </row>
    <row r="218" customFormat="false" ht="15" hidden="false" customHeight="false" outlineLevel="0" collapsed="false">
      <c r="A218" s="9" t="s">
        <v>518</v>
      </c>
      <c r="B218" s="9" t="s">
        <v>519</v>
      </c>
      <c r="C218" s="9" t="s">
        <v>54</v>
      </c>
      <c r="D218" s="10" t="s">
        <v>1377</v>
      </c>
    </row>
    <row r="219" customFormat="false" ht="15" hidden="false" customHeight="false" outlineLevel="0" collapsed="false">
      <c r="A219" s="9" t="s">
        <v>528</v>
      </c>
      <c r="B219" s="9" t="s">
        <v>529</v>
      </c>
      <c r="C219" s="9" t="s">
        <v>55</v>
      </c>
      <c r="D219" s="10" t="s">
        <v>1378</v>
      </c>
    </row>
    <row r="220" customFormat="false" ht="15" hidden="false" customHeight="false" outlineLevel="0" collapsed="false">
      <c r="A220" s="9" t="s">
        <v>528</v>
      </c>
      <c r="B220" s="9" t="s">
        <v>529</v>
      </c>
      <c r="C220" s="9" t="s">
        <v>55</v>
      </c>
      <c r="D220" s="10" t="s">
        <v>1379</v>
      </c>
    </row>
    <row r="221" customFormat="false" ht="15" hidden="false" customHeight="false" outlineLevel="0" collapsed="false">
      <c r="A221" s="9" t="s">
        <v>528</v>
      </c>
      <c r="B221" s="9" t="s">
        <v>529</v>
      </c>
      <c r="C221" s="9" t="s">
        <v>55</v>
      </c>
      <c r="D221" s="10" t="s">
        <v>1380</v>
      </c>
    </row>
    <row r="222" customFormat="false" ht="15" hidden="false" customHeight="false" outlineLevel="0" collapsed="false">
      <c r="A222" s="9" t="s">
        <v>528</v>
      </c>
      <c r="B222" s="9" t="s">
        <v>529</v>
      </c>
      <c r="C222" s="9" t="s">
        <v>55</v>
      </c>
      <c r="D222" s="10" t="s">
        <v>1381</v>
      </c>
    </row>
    <row r="223" customFormat="false" ht="15" hidden="false" customHeight="false" outlineLevel="0" collapsed="false">
      <c r="A223" s="9" t="s">
        <v>528</v>
      </c>
      <c r="B223" s="9" t="s">
        <v>529</v>
      </c>
      <c r="C223" s="9" t="s">
        <v>55</v>
      </c>
      <c r="D223" s="10" t="s">
        <v>1382</v>
      </c>
    </row>
    <row r="224" customFormat="false" ht="15" hidden="false" customHeight="false" outlineLevel="0" collapsed="false">
      <c r="A224" s="9" t="s">
        <v>528</v>
      </c>
      <c r="B224" s="9" t="s">
        <v>529</v>
      </c>
      <c r="C224" s="9" t="s">
        <v>55</v>
      </c>
      <c r="D224" s="10" t="s">
        <v>1383</v>
      </c>
    </row>
    <row r="225" customFormat="false" ht="15" hidden="false" customHeight="false" outlineLevel="0" collapsed="false">
      <c r="A225" s="9" t="s">
        <v>535</v>
      </c>
      <c r="B225" s="9" t="s">
        <v>536</v>
      </c>
      <c r="C225" s="9" t="s">
        <v>54</v>
      </c>
      <c r="D225" s="10" t="s">
        <v>1384</v>
      </c>
    </row>
    <row r="226" customFormat="false" ht="15" hidden="false" customHeight="false" outlineLevel="0" collapsed="false">
      <c r="A226" s="9" t="s">
        <v>535</v>
      </c>
      <c r="B226" s="9" t="s">
        <v>536</v>
      </c>
      <c r="C226" s="9" t="s">
        <v>54</v>
      </c>
      <c r="D226" s="10" t="s">
        <v>1385</v>
      </c>
    </row>
    <row r="227" customFormat="false" ht="15" hidden="false" customHeight="false" outlineLevel="0" collapsed="false">
      <c r="A227" s="9" t="s">
        <v>535</v>
      </c>
      <c r="B227" s="9" t="s">
        <v>536</v>
      </c>
      <c r="C227" s="9" t="s">
        <v>54</v>
      </c>
      <c r="D227" s="10" t="s">
        <v>1386</v>
      </c>
    </row>
    <row r="228" customFormat="false" ht="15" hidden="false" customHeight="false" outlineLevel="0" collapsed="false">
      <c r="A228" s="9" t="s">
        <v>535</v>
      </c>
      <c r="B228" s="9" t="s">
        <v>536</v>
      </c>
      <c r="C228" s="9" t="s">
        <v>54</v>
      </c>
      <c r="D228" s="10" t="s">
        <v>1387</v>
      </c>
    </row>
    <row r="229" customFormat="false" ht="15" hidden="false" customHeight="false" outlineLevel="0" collapsed="false">
      <c r="A229" s="9" t="s">
        <v>543</v>
      </c>
      <c r="B229" s="9" t="s">
        <v>544</v>
      </c>
      <c r="C229" s="9" t="s">
        <v>53</v>
      </c>
      <c r="D229" s="10" t="s">
        <v>1388</v>
      </c>
    </row>
    <row r="230" customFormat="false" ht="15" hidden="false" customHeight="false" outlineLevel="0" collapsed="false">
      <c r="A230" s="9" t="s">
        <v>543</v>
      </c>
      <c r="B230" s="9" t="s">
        <v>544</v>
      </c>
      <c r="C230" s="9" t="s">
        <v>53</v>
      </c>
      <c r="D230" s="10" t="s">
        <v>1389</v>
      </c>
    </row>
    <row r="231" customFormat="false" ht="15" hidden="false" customHeight="false" outlineLevel="0" collapsed="false">
      <c r="A231" s="9" t="s">
        <v>543</v>
      </c>
      <c r="B231" s="9" t="s">
        <v>544</v>
      </c>
      <c r="C231" s="9" t="s">
        <v>53</v>
      </c>
      <c r="D231" s="10" t="s">
        <v>1390</v>
      </c>
    </row>
    <row r="232" customFormat="false" ht="15" hidden="false" customHeight="false" outlineLevel="0" collapsed="false">
      <c r="A232" s="9" t="s">
        <v>543</v>
      </c>
      <c r="B232" s="9" t="s">
        <v>544</v>
      </c>
      <c r="C232" s="9" t="s">
        <v>53</v>
      </c>
      <c r="D232" s="10" t="s">
        <v>1391</v>
      </c>
    </row>
    <row r="233" customFormat="false" ht="15" hidden="false" customHeight="false" outlineLevel="0" collapsed="false">
      <c r="A233" s="9" t="s">
        <v>543</v>
      </c>
      <c r="B233" s="9" t="s">
        <v>544</v>
      </c>
      <c r="C233" s="9" t="s">
        <v>53</v>
      </c>
      <c r="D233" s="10" t="s">
        <v>1258</v>
      </c>
    </row>
    <row r="234" customFormat="false" ht="15" hidden="false" customHeight="false" outlineLevel="0" collapsed="false">
      <c r="A234" s="9" t="s">
        <v>552</v>
      </c>
      <c r="B234" s="9" t="s">
        <v>553</v>
      </c>
      <c r="C234" s="9" t="s">
        <v>53</v>
      </c>
      <c r="D234" s="10" t="s">
        <v>1392</v>
      </c>
    </row>
    <row r="235" customFormat="false" ht="15" hidden="false" customHeight="false" outlineLevel="0" collapsed="false">
      <c r="A235" s="9" t="s">
        <v>552</v>
      </c>
      <c r="B235" s="9" t="s">
        <v>553</v>
      </c>
      <c r="C235" s="9" t="s">
        <v>53</v>
      </c>
      <c r="D235" s="10" t="s">
        <v>1393</v>
      </c>
    </row>
    <row r="236" customFormat="false" ht="15" hidden="false" customHeight="false" outlineLevel="0" collapsed="false">
      <c r="A236" s="9" t="s">
        <v>552</v>
      </c>
      <c r="B236" s="9" t="s">
        <v>553</v>
      </c>
      <c r="C236" s="9" t="s">
        <v>53</v>
      </c>
      <c r="D236" s="10" t="s">
        <v>1394</v>
      </c>
    </row>
    <row r="237" customFormat="false" ht="15" hidden="false" customHeight="false" outlineLevel="0" collapsed="false">
      <c r="A237" s="9" t="s">
        <v>552</v>
      </c>
      <c r="B237" s="9" t="s">
        <v>553</v>
      </c>
      <c r="C237" s="9" t="s">
        <v>53</v>
      </c>
      <c r="D237" s="10" t="s">
        <v>1395</v>
      </c>
    </row>
    <row r="238" customFormat="false" ht="15" hidden="false" customHeight="false" outlineLevel="0" collapsed="false">
      <c r="A238" s="9" t="s">
        <v>552</v>
      </c>
      <c r="B238" s="9" t="s">
        <v>553</v>
      </c>
      <c r="C238" s="9" t="s">
        <v>53</v>
      </c>
      <c r="D238" s="10" t="s">
        <v>1396</v>
      </c>
    </row>
    <row r="239" customFormat="false" ht="15" hidden="false" customHeight="false" outlineLevel="0" collapsed="false">
      <c r="A239" s="9" t="s">
        <v>552</v>
      </c>
      <c r="B239" s="9" t="s">
        <v>553</v>
      </c>
      <c r="C239" s="9" t="s">
        <v>53</v>
      </c>
      <c r="D239" s="10" t="s">
        <v>1397</v>
      </c>
    </row>
    <row r="240" customFormat="false" ht="15" hidden="false" customHeight="false" outlineLevel="0" collapsed="false">
      <c r="A240" s="9" t="s">
        <v>552</v>
      </c>
      <c r="B240" s="9" t="s">
        <v>553</v>
      </c>
      <c r="C240" s="9" t="s">
        <v>53</v>
      </c>
      <c r="D240" s="10" t="s">
        <v>1398</v>
      </c>
    </row>
    <row r="241" customFormat="false" ht="15" hidden="false" customHeight="false" outlineLevel="0" collapsed="false">
      <c r="A241" s="9" t="s">
        <v>552</v>
      </c>
      <c r="B241" s="9" t="s">
        <v>553</v>
      </c>
      <c r="C241" s="9" t="s">
        <v>53</v>
      </c>
      <c r="D241" s="10" t="s">
        <v>1399</v>
      </c>
    </row>
    <row r="242" customFormat="false" ht="15" hidden="false" customHeight="false" outlineLevel="0" collapsed="false">
      <c r="A242" s="9" t="s">
        <v>552</v>
      </c>
      <c r="B242" s="9" t="s">
        <v>553</v>
      </c>
      <c r="C242" s="9" t="s">
        <v>54</v>
      </c>
      <c r="D242" s="10" t="s">
        <v>1395</v>
      </c>
    </row>
    <row r="243" customFormat="false" ht="15" hidden="false" customHeight="false" outlineLevel="0" collapsed="false">
      <c r="A243" s="9" t="s">
        <v>552</v>
      </c>
      <c r="B243" s="9" t="s">
        <v>553</v>
      </c>
      <c r="C243" s="9" t="s">
        <v>54</v>
      </c>
      <c r="D243" s="10" t="s">
        <v>1400</v>
      </c>
    </row>
    <row r="244" customFormat="false" ht="15" hidden="false" customHeight="false" outlineLevel="0" collapsed="false">
      <c r="A244" s="9" t="s">
        <v>552</v>
      </c>
      <c r="B244" s="9" t="s">
        <v>553</v>
      </c>
      <c r="C244" s="9" t="s">
        <v>54</v>
      </c>
      <c r="D244" s="10" t="s">
        <v>1401</v>
      </c>
    </row>
    <row r="245" customFormat="false" ht="15" hidden="false" customHeight="false" outlineLevel="0" collapsed="false">
      <c r="A245" s="9" t="s">
        <v>559</v>
      </c>
      <c r="B245" s="9" t="s">
        <v>560</v>
      </c>
      <c r="C245" s="9" t="s">
        <v>55</v>
      </c>
      <c r="D245" s="10" t="s">
        <v>563</v>
      </c>
    </row>
    <row r="246" customFormat="false" ht="15" hidden="false" customHeight="false" outlineLevel="0" collapsed="false">
      <c r="A246" s="9" t="s">
        <v>564</v>
      </c>
      <c r="B246" s="9" t="s">
        <v>565</v>
      </c>
      <c r="C246" s="9" t="s">
        <v>53</v>
      </c>
      <c r="D246" s="10" t="s">
        <v>1402</v>
      </c>
    </row>
    <row r="247" customFormat="false" ht="15" hidden="false" customHeight="false" outlineLevel="0" collapsed="false">
      <c r="A247" s="9" t="s">
        <v>564</v>
      </c>
      <c r="B247" s="9" t="s">
        <v>565</v>
      </c>
      <c r="C247" s="9" t="s">
        <v>53</v>
      </c>
      <c r="D247" s="10" t="s">
        <v>1403</v>
      </c>
    </row>
    <row r="248" customFormat="false" ht="15" hidden="false" customHeight="false" outlineLevel="0" collapsed="false">
      <c r="A248" s="9" t="s">
        <v>564</v>
      </c>
      <c r="B248" s="9" t="s">
        <v>565</v>
      </c>
      <c r="C248" s="9" t="s">
        <v>53</v>
      </c>
      <c r="D248" s="10" t="s">
        <v>1404</v>
      </c>
    </row>
    <row r="249" customFormat="false" ht="15" hidden="false" customHeight="false" outlineLevel="0" collapsed="false">
      <c r="A249" s="9" t="s">
        <v>564</v>
      </c>
      <c r="B249" s="9" t="s">
        <v>565</v>
      </c>
      <c r="C249" s="9" t="s">
        <v>54</v>
      </c>
      <c r="D249" s="10" t="s">
        <v>1405</v>
      </c>
    </row>
    <row r="250" customFormat="false" ht="15" hidden="false" customHeight="false" outlineLevel="0" collapsed="false">
      <c r="A250" s="9" t="s">
        <v>564</v>
      </c>
      <c r="B250" s="9" t="s">
        <v>565</v>
      </c>
      <c r="C250" s="9" t="s">
        <v>54</v>
      </c>
      <c r="D250" s="10" t="s">
        <v>1406</v>
      </c>
    </row>
    <row r="251" customFormat="false" ht="15" hidden="false" customHeight="false" outlineLevel="0" collapsed="false">
      <c r="A251" s="9" t="s">
        <v>564</v>
      </c>
      <c r="B251" s="9" t="s">
        <v>565</v>
      </c>
      <c r="C251" s="9" t="s">
        <v>54</v>
      </c>
      <c r="D251" s="10" t="s">
        <v>1403</v>
      </c>
    </row>
    <row r="252" customFormat="false" ht="15" hidden="false" customHeight="false" outlineLevel="0" collapsed="false">
      <c r="A252" s="9" t="s">
        <v>572</v>
      </c>
      <c r="B252" s="9" t="s">
        <v>573</v>
      </c>
      <c r="C252" s="9" t="s">
        <v>53</v>
      </c>
      <c r="D252" s="10" t="s">
        <v>1258</v>
      </c>
    </row>
    <row r="253" customFormat="false" ht="15" hidden="false" customHeight="false" outlineLevel="0" collapsed="false">
      <c r="A253" s="9" t="s">
        <v>572</v>
      </c>
      <c r="B253" s="9" t="s">
        <v>573</v>
      </c>
      <c r="C253" s="9" t="s">
        <v>53</v>
      </c>
      <c r="D253" s="10" t="s">
        <v>1407</v>
      </c>
    </row>
    <row r="254" customFormat="false" ht="15" hidden="false" customHeight="false" outlineLevel="0" collapsed="false">
      <c r="A254" s="9" t="s">
        <v>572</v>
      </c>
      <c r="B254" s="9" t="s">
        <v>573</v>
      </c>
      <c r="C254" s="9" t="s">
        <v>53</v>
      </c>
      <c r="D254" s="10" t="s">
        <v>1408</v>
      </c>
    </row>
    <row r="255" customFormat="false" ht="15" hidden="false" customHeight="false" outlineLevel="0" collapsed="false">
      <c r="A255" s="9" t="s">
        <v>577</v>
      </c>
      <c r="B255" s="9" t="s">
        <v>578</v>
      </c>
      <c r="C255" s="9" t="s">
        <v>53</v>
      </c>
      <c r="D255" s="10" t="s">
        <v>581</v>
      </c>
    </row>
    <row r="256" customFormat="false" ht="15" hidden="false" customHeight="false" outlineLevel="0" collapsed="false">
      <c r="A256" s="9" t="s">
        <v>582</v>
      </c>
      <c r="B256" s="9" t="s">
        <v>583</v>
      </c>
      <c r="C256" s="9" t="s">
        <v>56</v>
      </c>
      <c r="D256" s="10" t="s">
        <v>1409</v>
      </c>
    </row>
    <row r="257" customFormat="false" ht="15" hidden="false" customHeight="false" outlineLevel="0" collapsed="false">
      <c r="A257" s="9" t="s">
        <v>582</v>
      </c>
      <c r="B257" s="9" t="s">
        <v>583</v>
      </c>
      <c r="C257" s="9" t="s">
        <v>56</v>
      </c>
      <c r="D257" s="10" t="s">
        <v>1410</v>
      </c>
    </row>
    <row r="258" customFormat="false" ht="15" hidden="false" customHeight="false" outlineLevel="0" collapsed="false">
      <c r="A258" s="9" t="s">
        <v>588</v>
      </c>
      <c r="B258" s="9" t="s">
        <v>589</v>
      </c>
      <c r="C258" s="9" t="s">
        <v>56</v>
      </c>
      <c r="D258" s="10" t="s">
        <v>590</v>
      </c>
    </row>
    <row r="259" customFormat="false" ht="15" hidden="false" customHeight="false" outlineLevel="0" collapsed="false">
      <c r="A259" s="9" t="s">
        <v>591</v>
      </c>
      <c r="B259" s="9" t="s">
        <v>592</v>
      </c>
      <c r="C259" s="9" t="s">
        <v>57</v>
      </c>
      <c r="D259" s="10" t="s">
        <v>1411</v>
      </c>
    </row>
    <row r="260" customFormat="false" ht="15" hidden="false" customHeight="false" outlineLevel="0" collapsed="false">
      <c r="A260" s="9" t="s">
        <v>591</v>
      </c>
      <c r="B260" s="9" t="s">
        <v>592</v>
      </c>
      <c r="C260" s="9" t="s">
        <v>57</v>
      </c>
      <c r="D260" s="10" t="s">
        <v>1412</v>
      </c>
    </row>
    <row r="261" customFormat="false" ht="15" hidden="false" customHeight="false" outlineLevel="0" collapsed="false">
      <c r="A261" s="9" t="s">
        <v>591</v>
      </c>
      <c r="B261" s="9" t="s">
        <v>592</v>
      </c>
      <c r="C261" s="9" t="s">
        <v>57</v>
      </c>
      <c r="D261" s="10" t="s">
        <v>1413</v>
      </c>
    </row>
    <row r="262" customFormat="false" ht="15" hidden="false" customHeight="false" outlineLevel="0" collapsed="false">
      <c r="A262" s="9" t="s">
        <v>597</v>
      </c>
      <c r="B262" s="9" t="s">
        <v>598</v>
      </c>
      <c r="C262" s="9" t="s">
        <v>56</v>
      </c>
      <c r="D262" s="10" t="s">
        <v>599</v>
      </c>
    </row>
    <row r="263" customFormat="false" ht="15" hidden="false" customHeight="false" outlineLevel="0" collapsed="false">
      <c r="A263" s="9" t="s">
        <v>597</v>
      </c>
      <c r="B263" s="9" t="s">
        <v>598</v>
      </c>
      <c r="C263" s="9" t="s">
        <v>56</v>
      </c>
      <c r="D263" s="10" t="s">
        <v>1414</v>
      </c>
    </row>
    <row r="264" customFormat="false" ht="15" hidden="false" customHeight="false" outlineLevel="0" collapsed="false">
      <c r="A264" s="9" t="s">
        <v>597</v>
      </c>
      <c r="B264" s="9" t="s">
        <v>598</v>
      </c>
      <c r="C264" s="9" t="s">
        <v>56</v>
      </c>
      <c r="D264" s="10" t="s">
        <v>1415</v>
      </c>
    </row>
    <row r="265" customFormat="false" ht="15" hidden="false" customHeight="false" outlineLevel="0" collapsed="false">
      <c r="A265" s="9" t="s">
        <v>601</v>
      </c>
      <c r="B265" s="9" t="s">
        <v>602</v>
      </c>
      <c r="C265" s="9" t="s">
        <v>58</v>
      </c>
      <c r="D265" s="10" t="s">
        <v>1416</v>
      </c>
    </row>
    <row r="266" customFormat="false" ht="15" hidden="false" customHeight="false" outlineLevel="0" collapsed="false">
      <c r="A266" s="9" t="s">
        <v>601</v>
      </c>
      <c r="B266" s="9" t="s">
        <v>602</v>
      </c>
      <c r="C266" s="9" t="s">
        <v>58</v>
      </c>
      <c r="D266" s="10" t="s">
        <v>1417</v>
      </c>
    </row>
    <row r="267" customFormat="false" ht="15" hidden="false" customHeight="false" outlineLevel="0" collapsed="false">
      <c r="A267" s="9" t="s">
        <v>601</v>
      </c>
      <c r="B267" s="9" t="s">
        <v>602</v>
      </c>
      <c r="C267" s="9" t="s">
        <v>58</v>
      </c>
      <c r="D267" s="10" t="s">
        <v>612</v>
      </c>
    </row>
    <row r="268" customFormat="false" ht="15" hidden="false" customHeight="false" outlineLevel="0" collapsed="false">
      <c r="A268" s="9" t="s">
        <v>607</v>
      </c>
      <c r="B268" s="9" t="s">
        <v>608</v>
      </c>
      <c r="C268" s="9" t="s">
        <v>58</v>
      </c>
      <c r="D268" s="10" t="s">
        <v>612</v>
      </c>
    </row>
    <row r="269" customFormat="false" ht="15" hidden="false" customHeight="false" outlineLevel="0" collapsed="false">
      <c r="A269" s="9" t="s">
        <v>613</v>
      </c>
      <c r="B269" s="9" t="s">
        <v>614</v>
      </c>
      <c r="C269" s="9" t="s">
        <v>58</v>
      </c>
      <c r="D269" s="10" t="s">
        <v>612</v>
      </c>
    </row>
    <row r="270" customFormat="false" ht="15" hidden="false" customHeight="false" outlineLevel="0" collapsed="false">
      <c r="A270" s="9" t="s">
        <v>617</v>
      </c>
      <c r="B270" s="9" t="s">
        <v>618</v>
      </c>
      <c r="C270" s="9" t="s">
        <v>55</v>
      </c>
      <c r="D270" s="10" t="s">
        <v>1418</v>
      </c>
    </row>
    <row r="271" customFormat="false" ht="15" hidden="false" customHeight="false" outlineLevel="0" collapsed="false">
      <c r="A271" s="9" t="s">
        <v>617</v>
      </c>
      <c r="B271" s="9" t="s">
        <v>618</v>
      </c>
      <c r="C271" s="9" t="s">
        <v>55</v>
      </c>
      <c r="D271" s="10" t="s">
        <v>1419</v>
      </c>
    </row>
    <row r="272" customFormat="false" ht="15" hidden="false" customHeight="false" outlineLevel="0" collapsed="false">
      <c r="A272" s="9" t="s">
        <v>617</v>
      </c>
      <c r="B272" s="9" t="s">
        <v>618</v>
      </c>
      <c r="C272" s="9" t="s">
        <v>55</v>
      </c>
      <c r="D272" s="10" t="s">
        <v>1420</v>
      </c>
    </row>
    <row r="273" customFormat="false" ht="15" hidden="false" customHeight="false" outlineLevel="0" collapsed="false">
      <c r="A273" s="9" t="s">
        <v>617</v>
      </c>
      <c r="B273" s="9" t="s">
        <v>618</v>
      </c>
      <c r="C273" s="9" t="s">
        <v>55</v>
      </c>
      <c r="D273" s="10" t="s">
        <v>1421</v>
      </c>
    </row>
    <row r="274" customFormat="false" ht="15" hidden="false" customHeight="false" outlineLevel="0" collapsed="false">
      <c r="A274" s="9" t="s">
        <v>617</v>
      </c>
      <c r="B274" s="9" t="s">
        <v>618</v>
      </c>
      <c r="C274" s="9" t="s">
        <v>55</v>
      </c>
      <c r="D274" s="10" t="s">
        <v>1422</v>
      </c>
    </row>
    <row r="275" customFormat="false" ht="15" hidden="false" customHeight="false" outlineLevel="0" collapsed="false">
      <c r="A275" s="9" t="s">
        <v>617</v>
      </c>
      <c r="B275" s="9" t="s">
        <v>618</v>
      </c>
      <c r="C275" s="9" t="s">
        <v>55</v>
      </c>
      <c r="D275" s="10" t="s">
        <v>1423</v>
      </c>
    </row>
    <row r="276" customFormat="false" ht="15" hidden="false" customHeight="false" outlineLevel="0" collapsed="false">
      <c r="A276" s="9" t="s">
        <v>623</v>
      </c>
      <c r="B276" s="9" t="s">
        <v>624</v>
      </c>
      <c r="C276" s="9" t="s">
        <v>57</v>
      </c>
      <c r="D276" s="10" t="s">
        <v>1424</v>
      </c>
    </row>
    <row r="277" customFormat="false" ht="15" hidden="false" customHeight="false" outlineLevel="0" collapsed="false">
      <c r="A277" s="9" t="s">
        <v>623</v>
      </c>
      <c r="B277" s="9" t="s">
        <v>624</v>
      </c>
      <c r="C277" s="9" t="s">
        <v>57</v>
      </c>
      <c r="D277" s="10" t="s">
        <v>1425</v>
      </c>
    </row>
    <row r="278" customFormat="false" ht="15" hidden="false" customHeight="false" outlineLevel="0" collapsed="false">
      <c r="A278" s="9" t="s">
        <v>623</v>
      </c>
      <c r="B278" s="9" t="s">
        <v>624</v>
      </c>
      <c r="C278" s="9" t="s">
        <v>57</v>
      </c>
      <c r="D278" s="10" t="s">
        <v>1426</v>
      </c>
    </row>
    <row r="279" customFormat="false" ht="15" hidden="false" customHeight="false" outlineLevel="0" collapsed="false">
      <c r="A279" s="9" t="s">
        <v>623</v>
      </c>
      <c r="B279" s="9" t="s">
        <v>624</v>
      </c>
      <c r="C279" s="9" t="s">
        <v>57</v>
      </c>
      <c r="D279" s="10" t="s">
        <v>1427</v>
      </c>
    </row>
    <row r="280" customFormat="false" ht="15" hidden="false" customHeight="false" outlineLevel="0" collapsed="false">
      <c r="A280" s="9" t="s">
        <v>628</v>
      </c>
      <c r="B280" s="9" t="s">
        <v>629</v>
      </c>
      <c r="C280" s="9" t="s">
        <v>54</v>
      </c>
      <c r="D280" s="10" t="s">
        <v>1428</v>
      </c>
    </row>
    <row r="281" customFormat="false" ht="15" hidden="false" customHeight="false" outlineLevel="0" collapsed="false">
      <c r="A281" s="9" t="s">
        <v>628</v>
      </c>
      <c r="B281" s="9" t="s">
        <v>629</v>
      </c>
      <c r="C281" s="9" t="s">
        <v>54</v>
      </c>
      <c r="D281" s="10" t="s">
        <v>1429</v>
      </c>
    </row>
    <row r="282" customFormat="false" ht="15" hidden="false" customHeight="false" outlineLevel="0" collapsed="false">
      <c r="A282" s="9" t="s">
        <v>628</v>
      </c>
      <c r="B282" s="9" t="s">
        <v>629</v>
      </c>
      <c r="C282" s="9" t="s">
        <v>54</v>
      </c>
      <c r="D282" s="10" t="s">
        <v>1430</v>
      </c>
    </row>
    <row r="283" customFormat="false" ht="15" hidden="false" customHeight="false" outlineLevel="0" collapsed="false">
      <c r="A283" s="9" t="s">
        <v>633</v>
      </c>
      <c r="B283" s="9" t="s">
        <v>634</v>
      </c>
      <c r="C283" s="9" t="s">
        <v>53</v>
      </c>
      <c r="D283" s="10" t="s">
        <v>1234</v>
      </c>
    </row>
    <row r="284" customFormat="false" ht="15" hidden="false" customHeight="false" outlineLevel="0" collapsed="false">
      <c r="A284" s="9" t="s">
        <v>633</v>
      </c>
      <c r="B284" s="9" t="s">
        <v>634</v>
      </c>
      <c r="C284" s="9" t="s">
        <v>53</v>
      </c>
      <c r="D284" s="10" t="s">
        <v>1431</v>
      </c>
    </row>
    <row r="285" customFormat="false" ht="15" hidden="false" customHeight="false" outlineLevel="0" collapsed="false">
      <c r="A285" s="9" t="s">
        <v>633</v>
      </c>
      <c r="B285" s="9" t="s">
        <v>634</v>
      </c>
      <c r="C285" s="9" t="s">
        <v>53</v>
      </c>
      <c r="D285" s="10" t="s">
        <v>501</v>
      </c>
    </row>
    <row r="286" customFormat="false" ht="15" hidden="false" customHeight="false" outlineLevel="0" collapsed="false">
      <c r="A286" s="9" t="s">
        <v>639</v>
      </c>
      <c r="B286" s="9" t="s">
        <v>640</v>
      </c>
      <c r="C286" s="9" t="s">
        <v>53</v>
      </c>
      <c r="D286" s="10" t="s">
        <v>1432</v>
      </c>
    </row>
    <row r="287" customFormat="false" ht="15" hidden="false" customHeight="false" outlineLevel="0" collapsed="false">
      <c r="A287" s="9" t="s">
        <v>639</v>
      </c>
      <c r="B287" s="9" t="s">
        <v>640</v>
      </c>
      <c r="C287" s="9" t="s">
        <v>53</v>
      </c>
      <c r="D287" s="10" t="s">
        <v>1433</v>
      </c>
    </row>
    <row r="288" customFormat="false" ht="15" hidden="false" customHeight="false" outlineLevel="0" collapsed="false">
      <c r="A288" s="9" t="s">
        <v>639</v>
      </c>
      <c r="B288" s="9" t="s">
        <v>640</v>
      </c>
      <c r="C288" s="9" t="s">
        <v>53</v>
      </c>
      <c r="D288" s="10" t="s">
        <v>1434</v>
      </c>
    </row>
    <row r="289" customFormat="false" ht="15" hidden="false" customHeight="false" outlineLevel="0" collapsed="false">
      <c r="A289" s="9" t="s">
        <v>639</v>
      </c>
      <c r="B289" s="9" t="s">
        <v>640</v>
      </c>
      <c r="C289" s="9" t="s">
        <v>53</v>
      </c>
      <c r="D289" s="10" t="s">
        <v>1435</v>
      </c>
    </row>
    <row r="290" customFormat="false" ht="15" hidden="false" customHeight="false" outlineLevel="0" collapsed="false">
      <c r="A290" s="9" t="s">
        <v>639</v>
      </c>
      <c r="B290" s="9" t="s">
        <v>640</v>
      </c>
      <c r="C290" s="9" t="s">
        <v>54</v>
      </c>
      <c r="D290" s="10" t="s">
        <v>1436</v>
      </c>
    </row>
    <row r="291" customFormat="false" ht="15" hidden="false" customHeight="false" outlineLevel="0" collapsed="false">
      <c r="A291" s="9" t="s">
        <v>639</v>
      </c>
      <c r="B291" s="9" t="s">
        <v>640</v>
      </c>
      <c r="C291" s="9" t="s">
        <v>54</v>
      </c>
      <c r="D291" s="10" t="s">
        <v>1437</v>
      </c>
    </row>
    <row r="292" customFormat="false" ht="15" hidden="false" customHeight="false" outlineLevel="0" collapsed="false">
      <c r="A292" s="9" t="s">
        <v>639</v>
      </c>
      <c r="B292" s="9" t="s">
        <v>640</v>
      </c>
      <c r="C292" s="9" t="s">
        <v>54</v>
      </c>
      <c r="D292" s="10" t="s">
        <v>1438</v>
      </c>
    </row>
    <row r="293" customFormat="false" ht="15" hidden="false" customHeight="false" outlineLevel="0" collapsed="false">
      <c r="A293" s="9" t="s">
        <v>639</v>
      </c>
      <c r="B293" s="9" t="s">
        <v>640</v>
      </c>
      <c r="C293" s="9" t="s">
        <v>54</v>
      </c>
      <c r="D293" s="10" t="s">
        <v>1439</v>
      </c>
    </row>
    <row r="294" customFormat="false" ht="15" hidden="false" customHeight="false" outlineLevel="0" collapsed="false">
      <c r="A294" s="9" t="s">
        <v>639</v>
      </c>
      <c r="B294" s="9" t="s">
        <v>640</v>
      </c>
      <c r="C294" s="9" t="s">
        <v>54</v>
      </c>
      <c r="D294" s="10" t="s">
        <v>1440</v>
      </c>
    </row>
    <row r="295" customFormat="false" ht="15" hidden="false" customHeight="false" outlineLevel="0" collapsed="false">
      <c r="A295" s="9" t="s">
        <v>639</v>
      </c>
      <c r="B295" s="9" t="s">
        <v>640</v>
      </c>
      <c r="C295" s="9" t="s">
        <v>54</v>
      </c>
      <c r="D295" s="10" t="s">
        <v>1441</v>
      </c>
    </row>
    <row r="296" customFormat="false" ht="15" hidden="false" customHeight="false" outlineLevel="0" collapsed="false">
      <c r="A296" s="9" t="s">
        <v>639</v>
      </c>
      <c r="B296" s="9" t="s">
        <v>640</v>
      </c>
      <c r="C296" s="9" t="s">
        <v>54</v>
      </c>
      <c r="D296" s="10" t="s">
        <v>1442</v>
      </c>
    </row>
    <row r="297" customFormat="false" ht="15" hidden="false" customHeight="false" outlineLevel="0" collapsed="false">
      <c r="A297" s="9" t="s">
        <v>650</v>
      </c>
      <c r="B297" s="9" t="s">
        <v>651</v>
      </c>
      <c r="C297" s="9" t="s">
        <v>53</v>
      </c>
      <c r="D297" s="10" t="s">
        <v>654</v>
      </c>
    </row>
    <row r="298" customFormat="false" ht="15" hidden="false" customHeight="false" outlineLevel="0" collapsed="false">
      <c r="A298" s="9" t="s">
        <v>655</v>
      </c>
      <c r="B298" s="9" t="s">
        <v>656</v>
      </c>
      <c r="C298" s="9" t="s">
        <v>53</v>
      </c>
      <c r="D298" s="10" t="s">
        <v>1213</v>
      </c>
    </row>
    <row r="299" customFormat="false" ht="15" hidden="false" customHeight="false" outlineLevel="0" collapsed="false">
      <c r="A299" s="9" t="s">
        <v>655</v>
      </c>
      <c r="B299" s="9" t="s">
        <v>656</v>
      </c>
      <c r="C299" s="9" t="s">
        <v>53</v>
      </c>
      <c r="D299" s="10" t="s">
        <v>1214</v>
      </c>
    </row>
    <row r="300" customFormat="false" ht="15" hidden="false" customHeight="false" outlineLevel="0" collapsed="false">
      <c r="A300" s="9" t="s">
        <v>660</v>
      </c>
      <c r="B300" s="9" t="s">
        <v>661</v>
      </c>
      <c r="C300" s="9" t="s">
        <v>54</v>
      </c>
      <c r="D300" s="10" t="s">
        <v>1443</v>
      </c>
    </row>
    <row r="301" customFormat="false" ht="15" hidden="false" customHeight="false" outlineLevel="0" collapsed="false">
      <c r="A301" s="9" t="s">
        <v>660</v>
      </c>
      <c r="B301" s="9" t="s">
        <v>661</v>
      </c>
      <c r="C301" s="9" t="s">
        <v>54</v>
      </c>
      <c r="D301" s="10" t="s">
        <v>1444</v>
      </c>
    </row>
    <row r="302" customFormat="false" ht="15" hidden="false" customHeight="false" outlineLevel="0" collapsed="false">
      <c r="A302" s="9" t="s">
        <v>667</v>
      </c>
      <c r="B302" s="9" t="s">
        <v>668</v>
      </c>
      <c r="C302" s="9" t="s">
        <v>59</v>
      </c>
      <c r="D302" s="10" t="s">
        <v>1445</v>
      </c>
    </row>
    <row r="303" customFormat="false" ht="15" hidden="false" customHeight="false" outlineLevel="0" collapsed="false">
      <c r="A303" s="9" t="s">
        <v>667</v>
      </c>
      <c r="B303" s="9" t="s">
        <v>668</v>
      </c>
      <c r="C303" s="9" t="s">
        <v>59</v>
      </c>
      <c r="D303" s="10" t="s">
        <v>1446</v>
      </c>
    </row>
    <row r="304" customFormat="false" ht="15" hidden="false" customHeight="false" outlineLevel="0" collapsed="false">
      <c r="A304" s="9" t="s">
        <v>667</v>
      </c>
      <c r="B304" s="9" t="s">
        <v>668</v>
      </c>
      <c r="C304" s="9" t="s">
        <v>59</v>
      </c>
      <c r="D304" s="10" t="s">
        <v>1447</v>
      </c>
    </row>
    <row r="305" customFormat="false" ht="15" hidden="false" customHeight="false" outlineLevel="0" collapsed="false">
      <c r="A305" s="9" t="s">
        <v>667</v>
      </c>
      <c r="B305" s="9" t="s">
        <v>668</v>
      </c>
      <c r="C305" s="9" t="s">
        <v>59</v>
      </c>
      <c r="D305" s="10" t="s">
        <v>1448</v>
      </c>
    </row>
    <row r="306" customFormat="false" ht="15" hidden="false" customHeight="false" outlineLevel="0" collapsed="false">
      <c r="A306" s="9" t="s">
        <v>675</v>
      </c>
      <c r="B306" s="9" t="s">
        <v>676</v>
      </c>
      <c r="C306" s="9" t="s">
        <v>53</v>
      </c>
      <c r="D306" s="10" t="s">
        <v>1449</v>
      </c>
    </row>
    <row r="307" customFormat="false" ht="15" hidden="false" customHeight="false" outlineLevel="0" collapsed="false">
      <c r="A307" s="9" t="s">
        <v>675</v>
      </c>
      <c r="B307" s="9" t="s">
        <v>676</v>
      </c>
      <c r="C307" s="9" t="s">
        <v>53</v>
      </c>
      <c r="D307" s="10" t="s">
        <v>1450</v>
      </c>
    </row>
    <row r="308" customFormat="false" ht="15" hidden="false" customHeight="false" outlineLevel="0" collapsed="false">
      <c r="A308" s="9" t="s">
        <v>675</v>
      </c>
      <c r="B308" s="9" t="s">
        <v>676</v>
      </c>
      <c r="C308" s="9" t="s">
        <v>53</v>
      </c>
      <c r="D308" s="10" t="s">
        <v>1451</v>
      </c>
    </row>
    <row r="309" customFormat="false" ht="15" hidden="false" customHeight="false" outlineLevel="0" collapsed="false">
      <c r="A309" s="9" t="s">
        <v>675</v>
      </c>
      <c r="B309" s="9" t="s">
        <v>676</v>
      </c>
      <c r="C309" s="9" t="s">
        <v>54</v>
      </c>
      <c r="D309" s="10" t="s">
        <v>1449</v>
      </c>
    </row>
    <row r="310" customFormat="false" ht="15" hidden="false" customHeight="false" outlineLevel="0" collapsed="false">
      <c r="A310" s="9" t="s">
        <v>675</v>
      </c>
      <c r="B310" s="9" t="s">
        <v>676</v>
      </c>
      <c r="C310" s="9" t="s">
        <v>54</v>
      </c>
      <c r="D310" s="10" t="s">
        <v>1452</v>
      </c>
    </row>
    <row r="311" customFormat="false" ht="15" hidden="false" customHeight="false" outlineLevel="0" collapsed="false">
      <c r="A311" s="9" t="s">
        <v>675</v>
      </c>
      <c r="B311" s="9" t="s">
        <v>676</v>
      </c>
      <c r="C311" s="9" t="s">
        <v>54</v>
      </c>
      <c r="D311" s="10" t="s">
        <v>1453</v>
      </c>
    </row>
    <row r="312" customFormat="false" ht="15" hidden="false" customHeight="false" outlineLevel="0" collapsed="false">
      <c r="A312" s="9" t="s">
        <v>684</v>
      </c>
      <c r="B312" s="9" t="s">
        <v>685</v>
      </c>
      <c r="C312" s="9" t="s">
        <v>53</v>
      </c>
      <c r="D312" s="10" t="s">
        <v>1234</v>
      </c>
    </row>
    <row r="313" customFormat="false" ht="15" hidden="false" customHeight="false" outlineLevel="0" collapsed="false">
      <c r="A313" s="9" t="s">
        <v>684</v>
      </c>
      <c r="B313" s="9" t="s">
        <v>685</v>
      </c>
      <c r="C313" s="9" t="s">
        <v>53</v>
      </c>
      <c r="D313" s="10" t="s">
        <v>1258</v>
      </c>
    </row>
    <row r="314" customFormat="false" ht="15" hidden="false" customHeight="false" outlineLevel="0" collapsed="false">
      <c r="A314" s="9" t="s">
        <v>684</v>
      </c>
      <c r="B314" s="9" t="s">
        <v>685</v>
      </c>
      <c r="C314" s="9" t="s">
        <v>53</v>
      </c>
      <c r="D314" s="10" t="s">
        <v>1454</v>
      </c>
    </row>
    <row r="315" customFormat="false" ht="15" hidden="false" customHeight="false" outlineLevel="0" collapsed="false">
      <c r="A315" s="9" t="s">
        <v>684</v>
      </c>
      <c r="B315" s="9" t="s">
        <v>685</v>
      </c>
      <c r="C315" s="9" t="s">
        <v>53</v>
      </c>
      <c r="D315" s="10" t="s">
        <v>1455</v>
      </c>
    </row>
    <row r="316" customFormat="false" ht="15" hidden="false" customHeight="false" outlineLevel="0" collapsed="false">
      <c r="A316" s="9" t="s">
        <v>684</v>
      </c>
      <c r="B316" s="9" t="s">
        <v>685</v>
      </c>
      <c r="C316" s="9" t="s">
        <v>53</v>
      </c>
      <c r="D316" s="10" t="s">
        <v>1456</v>
      </c>
    </row>
    <row r="317" customFormat="false" ht="15" hidden="false" customHeight="false" outlineLevel="0" collapsed="false">
      <c r="A317" s="9" t="s">
        <v>684</v>
      </c>
      <c r="B317" s="9" t="s">
        <v>685</v>
      </c>
      <c r="C317" s="9" t="s">
        <v>53</v>
      </c>
      <c r="D317" s="10" t="s">
        <v>1457</v>
      </c>
    </row>
    <row r="318" customFormat="false" ht="15" hidden="false" customHeight="false" outlineLevel="0" collapsed="false">
      <c r="A318" s="9" t="s">
        <v>684</v>
      </c>
      <c r="B318" s="9" t="s">
        <v>685</v>
      </c>
      <c r="C318" s="9" t="s">
        <v>53</v>
      </c>
      <c r="D318" s="10" t="s">
        <v>1458</v>
      </c>
    </row>
    <row r="319" customFormat="false" ht="15" hidden="false" customHeight="false" outlineLevel="0" collapsed="false">
      <c r="A319" s="9" t="s">
        <v>691</v>
      </c>
      <c r="B319" s="9" t="s">
        <v>692</v>
      </c>
      <c r="C319" s="9" t="s">
        <v>53</v>
      </c>
      <c r="D319" s="10" t="s">
        <v>694</v>
      </c>
    </row>
    <row r="320" customFormat="false" ht="15" hidden="false" customHeight="false" outlineLevel="0" collapsed="false">
      <c r="A320" s="9" t="s">
        <v>695</v>
      </c>
      <c r="B320" s="9" t="s">
        <v>696</v>
      </c>
      <c r="C320" s="9" t="s">
        <v>53</v>
      </c>
      <c r="D320" s="10" t="s">
        <v>1234</v>
      </c>
    </row>
    <row r="321" customFormat="false" ht="15" hidden="false" customHeight="false" outlineLevel="0" collapsed="false">
      <c r="A321" s="9" t="s">
        <v>695</v>
      </c>
      <c r="B321" s="9" t="s">
        <v>696</v>
      </c>
      <c r="C321" s="9" t="s">
        <v>53</v>
      </c>
      <c r="D321" s="10" t="s">
        <v>1258</v>
      </c>
    </row>
    <row r="322" customFormat="false" ht="15" hidden="false" customHeight="false" outlineLevel="0" collapsed="false">
      <c r="A322" s="9" t="s">
        <v>695</v>
      </c>
      <c r="B322" s="9" t="s">
        <v>696</v>
      </c>
      <c r="C322" s="9" t="s">
        <v>53</v>
      </c>
      <c r="D322" s="10" t="s">
        <v>1459</v>
      </c>
    </row>
    <row r="323" customFormat="false" ht="15" hidden="false" customHeight="false" outlineLevel="0" collapsed="false">
      <c r="A323" s="9" t="s">
        <v>695</v>
      </c>
      <c r="B323" s="9" t="s">
        <v>696</v>
      </c>
      <c r="C323" s="9" t="s">
        <v>53</v>
      </c>
      <c r="D323" s="10" t="s">
        <v>1460</v>
      </c>
    </row>
  </sheetData>
  <hyperlinks>
    <hyperlink ref="D2" r:id="rId1" display="https://www.dial4trade.com/ahimsa-industries/pet-preforms-pdid-744484.htm"/>
    <hyperlink ref="D3" r:id="rId2" display="https://petpla.net/wikipetia/index.php/Ahmisa_Industries_Limited"/>
    <hyperlink ref="D4" r:id="rId3" display="https://packagingsouthasia.com/packaging-production/amcor-india-opens-seventh-plant-in-india-at-bharuch"/>
    <hyperlink ref="D5" r:id="rId4" display="https://www.packaging-gateway.com/news/amcor-acquire-phoenix-flexibles/"/>
    <hyperlink ref="D6" r:id="rId5" display="https://esmmagazine.com/packaging-design/amcor-acquires-flexible-packaging-plant-in-india-247427"/>
    <hyperlink ref="D7" r:id="rId6" display="https://www.petnology.com/online/news-detail/amcor-announces-acquisition-of-scalable-flexible-packaging-plant-in-high-growth-indian-market"/>
    <hyperlink ref="D8" r:id="rId7" display="https://pharmaoffer.com/api-excipient-supplier/dextrose-anhydrate/cep"/>
    <hyperlink ref="D9" r:id="rId8" display="https://m.indiamart.com/aptar/aboutus.html"/>
    <hyperlink ref="D10" r:id="rId9" display="https://www.indianpharmapost.com/news/aptar-expands-mumbai-operations-as-it-adds-local-production-of-pharma-inhalation-tech-22137"/>
    <hyperlink ref="D11" r:id="rId10" display="https://www.packaginginsights.com/news/aptar-pharma-expands-presence-in-india.html"/>
    <hyperlink ref="D12" r:id="rId11" display="https://www.aptar.com/pharmaceutical/technologies/child-resistant-senior-friendly/"/>
    <hyperlink ref="D13" r:id="rId12" display="https://www.tilleydistributionproducts.com/products/clintose-dextrose-a"/>
    <hyperlink ref="D14" r:id="rId13" display="https://tilleydistributionproducts.com/products/clintose-dextrose-vf"/>
    <hyperlink ref="D15" r:id="rId14" display="https://knowde.com/stores/adm/products/adm-dextrose-monohydrate"/>
    <hyperlink ref="D16" r:id="rId15" display="https://pharmaoffer.com/api-excipient-supplier/dextrose-anhydrate/cep"/>
    <hyperlink ref="D17" r:id="rId16" display="https://b2b-ca.vwr.com/store/product/en/4541456/dextrose-anhydrous-97-5-102-0-by-anhydrous-basis-usp-multi-compendial-j-t-baker"/>
    <hyperlink ref="D18" r:id="rId17" display="https://b2b-us.vwr.com/store/product/4541456/null"/>
    <hyperlink ref="D19" r:id="rId18" display="https://b2b-cn.vwr.com/store/product/8030185/null"/>
    <hyperlink ref="D20" r:id="rId19" display="https://www.avantorsciences.com/pt/en/search/USLP070318BIOP00008"/>
    <hyperlink ref="D21" r:id="rId20" display="https://bericap.com/home-care-pharma-supplies/landingpage-otc-pharmaceuticals/"/>
    <hyperlink ref="D22" r:id="rId21" display="https://www.packaging-gateway.com/products/bericap-closure-solutions-home-care-pharma-supplies/"/>
    <hyperlink ref="D23" r:id="rId22" display="https://packagingeurope.com/bericap-presents-closure-solutions-at-packaging-innovations/5782.article"/>
    <hyperlink ref="D24" r:id="rId23" display="https://www.InstaFinancials.com/company/bericap-india-private-limited/U25202PN2001PTC140929"/>
    <hyperlink ref="D25" r:id="rId24" display="https://www.plasticsnews.com/article/20180828/NEWS/180829902/bericap-doubling-india-plant/"/>
    <hyperlink ref="D26" r:id="rId25" display="https://www.plastemart.com/news-plastics-information/bericap-to-acquire-essel-propack´s-share-in-indian-jv/8930"/>
    <hyperlink ref="D27" r:id="rId26" display="https://bericap.com/product/hc-ev-28-27-pco-1881/"/>
    <hyperlink ref="D28" r:id="rId27" display="https://berlinpackaging.eu/en-be/markets/healthcare/packaging/child-resistant-closures"/>
    <hyperlink ref="D29" r:id="rId28" display="https://www.berryglobal.com/en/product/product-item/13191479"/>
    <hyperlink ref="D30" r:id="rId29" display="https://www.berryglobal.com/en/product/product-item/13567185"/>
    <hyperlink ref="D31" r:id="rId30" display="https://packagingeurope.com/news/berry-global-offers-range-of-pet-bottle-and-closure-solutions-for-child-safe-and-tamper-evident-medicine-packaging/9429.article"/>
    <hyperlink ref="D32" r:id="rId31" display="https://packagingscotland.com/2023/02/berry-group-healthcare-launches-comprehensive-new-child-resistant-range/"/>
    <hyperlink ref="D33" r:id="rId32" display="https://www.sec.gov/Archives/edgar/data/0001378992/000137899218000039/form10k.htm"/>
    <hyperlink ref="D34" r:id="rId33" display="https://www.biesterfeld.com/en/gb/product/dextrose-glucose"/>
    <hyperlink ref="D35" r:id="rId34" display="https://www.biesterfeld.com/en/at/product/dextrose-glucose/"/>
    <hyperlink ref="D36" r:id="rId35" display="https://pharmaoffer.com/api-excipient-supplier/excipients/glucose-monohydrate/cep"/>
    <hyperlink ref="D37" r:id="rId36" display="https://pharmaoffer.com/api-excipient-supplier/glucose-monohydrate/cep"/>
    <hyperlink ref="D38" r:id="rId37" display="https://www.cargill.com/pharmaceutical/pharma-products/glucose-monohydrates-dextrose"/>
    <hyperlink ref="D39" r:id="rId38" display="https://www.cargill.com/products/pharmaceutical/products/glucose-monohydrates/"/>
    <hyperlink ref="D40" r:id="rId39" display="https://pharmacompass.com/ndc-api/cargill-slu"/>
    <hyperlink ref="D41" r:id="rId40" display="https://www.cargill.com/food-bev/emea/c-dex-dextrose"/>
    <hyperlink ref="D42" r:id="rId41" display="https://www.cargill.com/food-bev/ap/dextrose"/>
    <hyperlink ref="D43" r:id="rId42" display="https://www.packaginginsights.com/news/chemco-pet-bottle-recycling-india.html"/>
    <hyperlink ref="D44" r:id="rId43" display="https://www.plastemart.com/news-plastics-information/chemco-group-pioneering-circularity-with-in-house-rpet-production/75112"/>
    <hyperlink ref="D45" r:id="rId44" display="https://www.industrialautomationindia.in/news/chemco-group-food-grade-rpet-facility-sanand"/>
    <hyperlink ref="D46" r:id="rId45" display="https://themachinemaker.com/news/chemco-group-launches-%e2%82%b9125-crore-food-grade-rpet-bottle-recycling-plant-in-gujarat/"/>
    <hyperlink ref="D47" r:id="rId46" display="https://packagingsouthasia.com/type-of-article/industry-news/chemco-gets-fssai-nod/"/>
    <hyperlink ref="D48" r:id="rId47" display="https://m.indiamart.com/chemcoplastic"/>
    <hyperlink ref="D49" r:id="rId48" display="https://www.packaging-gateway.com/news/chemco-gujarat-rpet-recycling-plant/"/>
    <hyperlink ref="D50" r:id="rId49" display="https://pharmaoffer.com/api-excipient-supplier/excipients/glucose-monohydrate/cep"/>
    <hyperlink ref="D51" r:id="rId50" display="https://pharmaoffer.com/api-excipient-supplier/glucose-monohydrate/cep"/>
    <hyperlink ref="D52" r:id="rId51" display="https://www.packaginginsights.com/news/closure-systems-international-child-resistant-closure.html"/>
    <hyperlink ref="D53" r:id="rId52" display="https://www.silicon.co.uk/press-release/closure-systems-international-launches-defender-lok-crc-product-line"/>
    <hyperlink ref="D54" r:id="rId53" display="https://finance.yahoo.com/news/closure-systems-international-introduces-child-142709276.html"/>
    <hyperlink ref="D55" r:id="rId54" display="https://www.healthcarepackaging.com/industries/pharmaceuticals/press-release/13287374/comar-childresistant-closures"/>
    <hyperlink ref="D56" r:id="rId55" display="https://app.qualifyze.com/directory/supplier/comar-71f904da"/>
    <hyperlink ref="D57" r:id="rId56" display="https://directory.designnews.com/comar-inc-comp225738.html"/>
    <hyperlink ref="D58" r:id="rId57" display="https://cflex.com/newsroom/constantia-flexibles-to-expand-production-capacity-in-india"/>
    <hyperlink ref="D59" r:id="rId58" display="https://www.printweek.in/News/constantia-flexibles-invest-rs-100-crore-ahmedabad-plant-28024"/>
    <hyperlink ref="D60" r:id="rId59" display="https://packagingsouthasia.com/packaging-production/constantia-flexibles-to-invest-inr-100-crore-in-a-new-india-plant/"/>
    <hyperlink ref="D61" r:id="rId60" display="https://www.dcatvci.org/?p=6358"/>
    <hyperlink ref="D62" r:id="rId61" display="https://www.packaging-gateway.com/news/constantia-flexibles-expand-production-capacity-indian-facility/"/>
    <hyperlink ref="D63" r:id="rId62" display="https://www.packaging-gateway.com/projects/parikhpackagingfacil/"/>
    <hyperlink ref="D64" r:id="rId63" display="https://www.cosmos.com.mx/producto/dextrosa-4bfp/dextrosa-anhidra-d7jd/dextrosa-anhidra-grado-farmaceutico-ddbs/"/>
    <hyperlink ref="D65" r:id="rId64" display="https://m.indiamart.com/crystal-poly/profile.html"/>
    <hyperlink ref="D66" r:id="rId65" display="https://pharmacompass.com/us-drug-master-files-dmfs/anhydrous-dextrose"/>
    <hyperlink ref="D67" r:id="rId66" display="https://www.pharmacompass.com/about/cspc-shengxue-glucose"/>
    <hyperlink ref="D68" r:id="rId67" display="https://doc.irasia.com/listco/hk/cspc/annual/2018/screspress.pdf"/>
    <hyperlink ref="D69" r:id="rId68" display="https://www.erema.com/en/public-relations-news/dalmia-polypro-to-install-erema-systems-for-pet-und-fuer-po-recycling--3233/"/>
    <hyperlink ref="D70" r:id="rId69" display="https://packagingsouthasia.com/application/dalmia-polypros-food-grade/"/>
    <hyperlink ref="D71" r:id="rId70" display="https://www.outlookbusiness.com/news/dalmia-polypro-to-raise-usd-30-mn-from-us-dfc-to-build-facility-in-maharashtra"/>
    <hyperlink ref="D72" r:id="rId71" display="https://www.circulatecapital.com/wp-content/uploads/2022/12/DalmiaPolyproIndustriesPL-x-CC_-Press-Release_2020-12-10-.pdf"/>
    <hyperlink ref="D73" r:id="rId72" display="https://www.packaging-gateway.com/news/slmg-dalmia-india-plant/"/>
    <hyperlink ref="D74" r:id="rId73" display="https://trademarks.justia.com/owners/drug-plastics-glass-company-inc-135913"/>
    <hyperlink ref="D75" r:id="rId74" display="https://www.pharmaceutical-tech.com/suppliers/drug-plastics-glass-co-inc"/>
    <hyperlink ref="D76" r:id="rId75" display="https://niemagazine.com/resources/sourcebook/6455/drug-plastics-glass-co-inc/"/>
    <hyperlink ref="D77" r:id="rId76" display="https://eicl.in/?p=284"/>
    <hyperlink ref="D78" r:id="rId77" display="https://eicl.in/?p=572"/>
    <hyperlink ref="D79" r:id="rId78" display="https://elchemy.com/product/dextrose-monohydrate-1509"/>
    <hyperlink ref="D80" r:id="rId79" display="https://www.crisil.com/mnt/winshare/Ratings/RatingList/RatingDocs/EsterIndustriesLimited_July 22_ 2025_RR_374336.html"/>
    <hyperlink ref="D81" r:id="rId80" display="https://www.crisil.com/mnt/winshare/Ratings/RatingList/RatingDocs/EsterIndustriesLimited_May 13_ 2024_RR_343559.html"/>
    <hyperlink ref="D82" r:id="rId81" display="https://nsearchives.nseindia.com/corporate/GANECOS_03092025232921_annual_report.pdf"/>
    <hyperlink ref="D83" r:id="rId82" display="https://recyclinginside.com/news/bottle-to-fibre-and-bottle-to-bottle-two-starlinger-pet-recycling-lines-for-indian-recycling-brand-go-rewise/"/>
    <hyperlink ref="D84" r:id="rId83" display="https://www.wasterecyclingmag.com/news/plastic-recycling/bottle-to-fibre-and-bottle-to-bottle-two-starlinger-pet-recycling-lines-for-indian-recycling-brand-go-rewise"/>
    <hyperlink ref="D85" r:id="rId84" display="https://www.innovationintextiles.com/trailblazing-pet-recycling-in-india"/>
    <hyperlink ref="D86" r:id="rId85" display="https://machinist.in/2025/09/garware-hi-tech-films-starts-commercial-production-of-new-ppf-line-at-waluj-facility/"/>
    <hyperlink ref="D87" r:id="rId86" display="https://www.garwarehitechfilms.com/wp-content/uploads/2023/03/Investors-Presentation-May-2021.pdf.pdf"/>
    <hyperlink ref="D88" r:id="rId87" display="https://gerresheimer.com/en/company/newsroom/corporate-news/detail/cphi-india-gerresheimer-customers-value-child-resistant-pharmaceutical-packaging-1"/>
    <hyperlink ref="D89" r:id="rId88" display="https://manufacturingchemist.com/global-closure-systems-gcs-launches-pharmasafe-child-resistant-closure-91334"/>
    <hyperlink ref="D90" r:id="rId89" display="https://www.healthcarepackaging.com/home/press-release/13290585/global-closure-systems-exhibits-at-pharmapack-europe-2016"/>
    <hyperlink ref="D91" r:id="rId90" display="https://pharmtech.com/view/global-closure-systems-exhibits-cphi-2015"/>
    <hyperlink ref="D92" r:id="rId91" display="https://www.plasteurope.com/news/GLOBAL_CLOSURE_SYSTEMS_t228478"/>
    <hyperlink ref="D93" r:id="rId92" display="https://www.gualaclosures.com/pharma"/>
    <hyperlink ref="D94" r:id="rId93" display="https://www.gualaclosures.com/sites/default/files/files/allegati/2025-10/PR%20-%20GUALA%20CLOSURES%20ENTERS%20INTO%20PHARMACEUTICAL%20CLOSURES%20MARKET%20_%20Final.pdf"/>
    <hyperlink ref="D95" r:id="rId94" display="https://www.gualaclosures.com/guala-closures-pharmapack-kwk-strengthening-its-presence-pharmaceutical-sector"/>
    <hyperlink ref="D96" r:id="rId95" display="https://www.wolftheiss.com/insights/wolf-theiss-advises-guala-closures-s-p-a-on-the-acquisition-of-austrian-packaging-company-kunststoffwerk-kremsmunster-gmbh/"/>
    <hyperlink ref="D97" r:id="rId96" display="https://www.ambujagroup.com/"/>
    <hyperlink ref="D98" r:id="rId97" display="https://www.ambujagroup.com/starch-derivatives"/>
    <hyperlink ref="D99" r:id="rId98" display="https://www.ambujagroup.com/dextrose-anhydrous-powder"/>
    <hyperlink ref="D100" r:id="rId99" display="https://www.ambujagroup.com/dextrose-monohydrate-powder"/>
    <hyperlink ref="D101" r:id="rId100" display="https://www.wrightresearch.in/stocks/stock/GAEL/"/>
    <hyperlink ref="D102" r:id="rId101" display="https://www.ambujagroup.com/"/>
    <hyperlink ref="D103" r:id="rId102" display="https://nsearchives.nseindia.com/corporate/GAEL_26032025100331_Commercial_Production_1200TPD_Maize.pdf"/>
    <hyperlink ref="D104" r:id="rId103" display="https://www.careratings.com/upload/CompanyFiles/PR/202512121257_Gujarat_Ambuja_Exports_Limited.pdf"/>
    <hyperlink ref="D105" r:id="rId104" display="https://www.indiainfoline.com/company/gulshan-polyols-ltd/summary"/>
    <hyperlink ref="D106" r:id="rId105" display="https://www.gurufocus.com/stock/BOM:532457/transcripts/8616616"/>
    <hyperlink ref="D107" r:id="rId106" display="https://www.plindia.com/stocks/gulshan-polyols-ltd/"/>
    <hyperlink ref="D108" r:id="rId107" display="https://www.globallinker.com/products/trusted-pet-preform-manufacturers-in-odisha-harsh-impex-best-price-8457231"/>
    <hyperlink ref="D109" r:id="rId108" display="https://www.globallinker.com/seller/harsh-impex"/>
    <hyperlink ref="D110" r:id="rId109" display="https://yourstory.com/companies/harsh-impex"/>
    <hyperlink ref="D111" r:id="rId110" display="https://www.hawkinsinc.com/groups/pharmaceutical/dextrose/"/>
    <hyperlink ref="D112" r:id="rId111" display="https://news.ventureintelligence.com/ma/manjushree-technopack-to-acquire-caps-maker-hitesh-plastics"/>
    <hyperlink ref="D113" r:id="rId112" display="https://www.printweek.in/News/manjushree-technopack-backed-by-advent-to-acquire-hitesh-plastics-56469"/>
    <hyperlink ref="D114" r:id="rId113" display="https://www.petnology.com/online/news-detail/manjushree-technopack-acquires-hitesh-plastics"/>
    <hyperlink ref="D115" r:id="rId114" display="https://www.printweek.in/news/manjushree-technopack-backed-by-advent-to-acquire-hitesh-plastics-56469"/>
    <hyperlink ref="D116" r:id="rId115" display="https://www.petnology.com/online/news-detail/manjushree-technopack-acquires-hitesh-plastics"/>
    <hyperlink ref="D117" r:id="rId116" display="https://petpla.net/2022/08/08/manjushree-technopack-acquires-hitesh-plastics/"/>
    <hyperlink ref="D118" r:id="rId117" display="https://packagingsouthasia.com/type-of-article/manjushree-technopack-plant/"/>
    <hyperlink ref="D119" r:id="rId118" display="https://www.huhtamaki.com/en/flexible-packaging/about-us/india/"/>
    <hyperlink ref="D120" r:id="rId119" display="https://www.plastemart.com/news-plastics-information/huhtamaki-india-limited-a-leading-flexible-packaging-converter-for-fmcg-and-food-brands/75108"/>
    <hyperlink ref="D121" r:id="rId120" display="https://en.wikipedia.org/wiki/Huhtamaki_PPL"/>
    <hyperlink ref="D122" r:id="rId121" display="https://dfd.dr.morningstar.com.au/investments/security/NSE/HUHTAMAKI"/>
    <hyperlink ref="D123" r:id="rId122" display="https://production.huhtamaki.com/en-in/flexible-packaging"/>
    <hyperlink ref="D124" r:id="rId123" display="https://pharmaoffer.com/api-excipient-supplier/glucose-anhydrous"/>
    <hyperlink ref="D125" r:id="rId124" display="https://ingredion.com/content/dam/ingredion/technical-documents/na/CERELOSE%20Anhydrous%20Dextrose%20024010%20Technical%20Specification.pdf"/>
    <hyperlink ref="D126" r:id="rId125" display="https://pharmacompass.com/us-drug-master-files-dmfs/anhydrous-dextrose"/>
    <hyperlink ref="D127" r:id="rId126" display="https://pharmaoffer.com/api-excipient-supplier/company/ingredion"/>
    <hyperlink ref="D128" r:id="rId127" display="https://packagingsouthasia.com/zarchive/petainer-innopac-packagings-plant-at-bhiwandi/"/>
    <hyperlink ref="D129" r:id="rId128" display="https://www.indoramaventures.com/en/worldwide/2001/ivl-dhunseri-petrochem-industries-private-limited"/>
    <hyperlink ref="D130" r:id="rId129" display="https://www.textileworld.com/textile-world/fiber-world/2016/02/indorama-ventures-and-dhunseri-form-joint-venture-in-india/"/>
    <hyperlink ref="D131" r:id="rId130" display="https://chemengonline.com/indorama-to-form-pet-manufacturing-joint-venture-in-india"/>
    <hyperlink ref="D132" r:id="rId131" display="https://www.jaysomnathstarch.in/dextrose-anhydrous-powder.htm"/>
    <hyperlink ref="D133" r:id="rId132" display="https://www.jaysomnathstarch.in/dextrose-monohydrate-powder.htm"/>
    <hyperlink ref="D134" r:id="rId133" display="https://piceapp.com/gst-number-search/jay-somnath-starch-product-24aasfj8076f1zx/"/>
    <hyperlink ref="D135" r:id="rId134" display="https://www.crisil.com/mnt/winshare/Ratings/RatingList/RatingDocs/JindalPolyFilmsLimited_August 14_ 2026_RR_401765.html"/>
    <hyperlink ref="D136" r:id="rId135" display="https://www.crisil.com/mnt/winshare/Ratings/RatingList/RatingDocs/JindalPolyFilmsLimited_May 18_ 2026_RR_395327.html"/>
    <hyperlink ref="D137" r:id="rId136" display="https://www.wolftheiss.com/insights/wolf-theiss-advises-guala-closures-s-p-a-on-the-acquisition-of-austrian-packaging-company-kunststoffwerk-kremsmunster-gmbh/"/>
    <hyperlink ref="D138" r:id="rId137" display="https://www.ilgiornaleditalia.it/news/mondo-imprese/739210/guala-closures-acquisisce-kwk-leader-del-settore-del-packaging-farmaceutico-con-ricavi-di-18-milioni-di-euro-in-12-mesi.html"/>
    <hyperlink ref="D139" r:id="rId138" display="https://plasticker.de/Plastics_News_47298_Guala_Closures_Packaging_Specialist_Acquires_KWK_Kunststoffwerk_Kremsmnster__Entry_into_the_Pharmaceutical_Closure_Market"/>
    <hyperlink ref="D140" r:id="rId139" display="https://www.kwk.at/"/>
    <hyperlink ref="D141" r:id="rId140" display="https://www.laballey.com/products/dextrose-monohydrate-fcc-grade-powder"/>
    <hyperlink ref="D142" r:id="rId141" display="https://media.laballey.com/docbuilder/dextrose-monohydrate-fcc-grade-powder-country-of-origin-document-652e9c01db492.pdf"/>
    <hyperlink ref="D143" r:id="rId142" display="https://manjushreeindia.com/wp-content/uploads/2024/10/Caps-Closures.pdf"/>
    <hyperlink ref="D144" r:id="rId143" display="https://www.manjushreeindia.com/wp-content/uploads/2024/03/Manjushree-Corporate-Presentation.pdf"/>
    <hyperlink ref="D145" r:id="rId144" display="https://news.ventureintelligence.com/ma/manjushree-technopack-to-acquire-caps-maker-hitesh-plastics"/>
    <hyperlink ref="D146" r:id="rId145" display="https://petpla.net/2022/08/08/manjushree-technopack-acquires-hitesh-plastics/"/>
    <hyperlink ref="D147" r:id="rId146" display="https://manjushreeindia.com/wp-content/uploads/2024/10/Preforms.pdf"/>
    <hyperlink ref="D148" r:id="rId147" display="https://www.manjushreeindia.com/wp-content/uploads/2023/07/MTL-Corporate-Presentation.pdf"/>
    <hyperlink ref="D149" r:id="rId148" display="https://www.printweek.in/news/india-packaging-leader-manjushree-technopack-acquires-delhi-varahi-22700"/>
    <hyperlink ref="D150" r:id="rId149" display="https://petpla.net/?p=3756"/>
    <hyperlink ref="D151" r:id="rId150" display="https://packagingsouthasia.com/packaging-production/manjushree-technopack-commissions-new-plant-at-silvassa/"/>
    <hyperlink ref="D152" r:id="rId151" display="https://www.indiamart.com/manjushree-technopack-ltd/aboutus.html"/>
    <hyperlink ref="D153" r:id="rId152" display="https://altiusinvestech.com/blog/advent-internationals-3x-bagger-a-strategic-exit-from-manjushree-in-5-years/"/>
    <hyperlink ref="D154" r:id="rId153" display="https://en.wikipedia.org/wiki/Manjushree_Technopack"/>
    <hyperlink ref="D155" r:id="rId154" display="https://www.indiamart.com/manjushree-techno-pack-limited/profile.html"/>
    <hyperlink ref="D156" r:id="rId155" display="https://www.indiamart.com/manjushree-technopark-limited/"/>
    <hyperlink ref="D157" r:id="rId156" display="https://www.tradeindia.com/Seller-2683598-MANJUSHREE-TECHNOPACK-LTD-/"/>
    <hyperlink ref="D158" r:id="rId157" display="https://www.tradeindia.com/products/pet-bisleri-bottles-6089274.html"/>
    <hyperlink ref="D159" r:id="rId158" display="https://mysuruinfrahub.com/manjushree-technopack-limited-to-setup-a-plastic-packaging-plant-at-chamarajanagar/"/>
    <hyperlink ref="D160" r:id="rId159" display="https://www.indiainfoline.com/company/alternicq-ltd/summary"/>
    <hyperlink ref="D161" r:id="rId160" display="https://www.manjushreeindia.com/wp-content/uploads/2024/03/Manjushree-Corporate-Presentation.pdf"/>
    <hyperlink ref="D162" r:id="rId161" display="https://www.adventinternational.com/ideas/the-endless-life-cycle-of-plastic-manjushree-technopack/"/>
    <hyperlink ref="D163" r:id="rId162" display="https://sbnri.com/p/pre-ipo/Manjushree-Technopack-Ltd.-jxbE69gV"/>
    <hyperlink ref="D164" r:id="rId163" display="https://m.indiamart.com/mark-pack/pet-bottles.html"/>
    <hyperlink ref="D165" r:id="rId164" display="https://m.indiamart.com/markpack/pet-plastic-bottles.html"/>
    <hyperlink ref="D166" r:id="rId165" display="https://m.indiamart.com/markpack/pet-jars.html"/>
    <hyperlink ref="D167" r:id="rId166" display="https://m.indiamart.com/mark-pack/plastic-bottle.html"/>
    <hyperlink ref="D168" r:id="rId167" display="https://m.indiamart.com/markpack"/>
    <hyperlink ref="D169" r:id="rId168" display="https://www.indianyellowpages.com/vapi/megapet-containers-pvt-ltd-9175302"/>
    <hyperlink ref="D170" r:id="rId169" display="https://www.monarchchemicals.co.uk/Chemicals/A-to-Z/665-/Dextrose-Monohydrate"/>
    <hyperlink ref="D171" r:id="rId170" display="https://iamrenew.com/green-energy/nafed-nccf-can-sell-maize-to-ethanol-makers-at-base-rate/amp"/>
    <hyperlink ref="D172" r:id="rId171" display="https://advancedbiofuelsusa.info/govt-to-buy-maize-at-msp-raise-output-to-meet-biofuel-needs"/>
    <hyperlink ref="D173" r:id="rId172" display="https://www.qcintel.com/biofuels/article/indian-goverment-issues-sop-for-corn-procurement-for-ethanol-output-21584.html"/>
    <hyperlink ref="D174" r:id="rId173" display="https://cropgpt.ai/nafed-agrees-to-procure-1-lakh-tonnes-of-maize-from-telangana-sets-up-procurement-centres-and-assures-minimum-support-price-for-farmers"/>
    <hyperlink ref="D175" r:id="rId174" display="https://www.indiancooperative.com/co-op-news-snippets/price-fall-triggers-msp-push-by-nafed-nccf/"/>
    <hyperlink ref="D176" r:id="rId175" display="https://iamrenew.com/green-energy/nafed-nccf-can-sell-maize-to-ethanol-makers-at-base-rate/amp"/>
    <hyperlink ref="D177" r:id="rId176" display="https://krishijagran.com/news/maize-to-be-procured-by-govt-at-msp-increased-production-targeted-to-meet-biofuel-requirements/?amp=1"/>
    <hyperlink ref="D178" r:id="rId177" display="https://www.indiancooperative.com/co-op-news-snippets/price-fall-triggers-msp-push-by-nafed-nccf/"/>
    <hyperlink ref="D179" r:id="rId178" display="https://www.angelone.in/news/economy/centre-extends-maize-msp-procurement-deadline-for-kharif-2025-26-till-april-30"/>
    <hyperlink ref="D180" r:id="rId179" display="https://m.indiamart.com/nishantmouldings"/>
    <hyperlink ref="D181" r:id="rId180" display="https://www.exporthub.com/nishant-mouldings/"/>
    <hyperlink ref="D182" r:id="rId181" display="https://www.dial4trade.com/nishant-moulding/pet-preforms-pdid-6788384.htm"/>
    <hyperlink ref="D183" r:id="rId182" display="https://www.nordmann.global/en/products/dextrose"/>
    <hyperlink ref="D184" r:id="rId183" display="https://www.pharmaceutical-technology.com/contractors/packaging/origin/pressreleases/pressorigin-pharma-packaging-child-safety"/>
    <hyperlink ref="D185" r:id="rId184" display="https://pharmaceutical-technology.com/contractors/cleanroom/origin/pressreleases/child-resistant-packaging"/>
    <hyperlink ref="D186" r:id="rId185" display="https://www.pharmaceutical-technology.com/contractors/packaging/origin/"/>
    <hyperlink ref="D187" r:id="rId186" display="https://parleagro.com/preforms"/>
    <hyperlink ref="D188" r:id="rId187" display="https://pciplindia.com/product-detail/dextrose-monohydrate"/>
    <hyperlink ref="D189" r:id="rId188" display="https://packagingsouthasia.com/packaging-production/pet-pioneer-pearl/"/>
    <hyperlink ref="D190" r:id="rId189" display="https://www.roic.ai/quote/PEARLPOLY.BO"/>
    <hyperlink ref="D191" r:id="rId190" display="https://www.screener.in/company/PEARLPOLY"/>
    <hyperlink ref="D192" r:id="rId191" display="https://kotaksecurities.com/stocks/bse-pearl-polymers-ltd"/>
    <hyperlink ref="D193" r:id="rId192" display="https://www.tickertape.in/stocks/pearl-polymers-PRLP"/>
    <hyperlink ref="D194" r:id="rId193" display="https://www.petainer.com/pet-plastic-preforms/bottle-preform-28mm-pco"/>
    <hyperlink ref="D195" r:id="rId194" display="https://www.angelone.in/news/stocks-share-market/polyplex-corporation-expands-its-horizons-with-new-bopet-film-plant-in-india"/>
    <hyperlink ref="D196" r:id="rId195" display="https://filingreader.com/news-wire/mumbai/2025-09-15/polyplex-highlights-global-expansion-sustainable-growth-strategy"/>
    <hyperlink ref="D197" r:id="rId196" display="https://www.screener.in/company/524051"/>
    <hyperlink ref="D198" r:id="rId197" display="https://www.dial4trade.com/pondicherry-polymers/pet-performs-pdid-1228244.htm"/>
    <hyperlink ref="D199" r:id="rId198" display="https://www.pranavplasticsindia.com/pharma-pet-bottles.html"/>
    <hyperlink ref="D200" r:id="rId199" display="https://en.indotrading.com/escochemicalsmitrautama/dextrose-monohydrate-ex-p470664.aspx"/>
    <hyperlink ref="D201" r:id="rId200" display="https://www.quadragroup.store/products/meritose-200-pharma-p15325"/>
    <hyperlink ref="D202" r:id="rId201" display="https://pharmasource.global/directory/radcom-packaging-pvt-ltd/"/>
    <hyperlink ref="D203" r:id="rId202" display="https://www.cphi-online.com/company/radcom-packaging-pvt-ltd/"/>
    <hyperlink ref="D204" r:id="rId203" display="https://m.indiamart.com/radcompackaging/hdpe-pet-containers-4-nutraceuticals-supplements.html"/>
    <hyperlink ref="D205" r:id="rId204" display="https://m.indiamart.com/radcompackaging/pet-cream-jars-and-pp-cream-jars.html"/>
    <hyperlink ref="D206" r:id="rId205" display="https://www.pharmaceutical-tech.com/products/raja-tradelinks-pvt-ltd-rtl/aluminium-ropp-caps"/>
    <hyperlink ref="D207" r:id="rId206" display="https://www.ramshreechemicals.in/dextrose-monohydrate-3400354.html"/>
    <hyperlink ref="D208" r:id="rId207" display="https://regaalresources.com/"/>
    <hyperlink ref="D209" r:id="rId208" display="https://agrospectrumindia.com/news/5/34078/regaal-resources-doubles-capacity-to-1650-tpd-commissions-new-lg-and-mpd-facility-in-bihar-with-rs-389-cr-investment.html"/>
    <hyperlink ref="D210" r:id="rId209" display="https://tradebrains.in/regaal-resources-doubles-crushing-capacity-to-1650-tpd-full-year-revenue-touches-1134-crore/"/>
    <hyperlink ref="D211" r:id="rId210" display="https://www.outlookbusiness.com/news/regaal-resources-doubles-maize-processing-capacity-with-389-cr-expansion-at-kishanganj-bihar"/>
    <hyperlink ref="D212" r:id="rId211" display="https://www.samco.in/ipo/regaal-resources-ipo"/>
    <hyperlink ref="D213" r:id="rId212" display="https://x.com/LnprCapital/status/1957687364702335124?lang=en"/>
    <hyperlink ref="D214" r:id="rId213" display="https://www.businessupturn.com/business/corporates/regaal-resources-doubles-maize-processing-capacity-to-1650-tpd-in-kishanganj"/>
    <hyperlink ref="D215" r:id="rId214" display="https://www.tipranks.com/news/company-announcements/regaal-resources-doubles-maize-capacity-becomes-eastern-indias-largest-specialty-producer"/>
    <hyperlink ref="D216" r:id="rId215" display="https://chemindigest.com/regaal-resources-commissions-lg-and-mpd-facility-in-bihar/"/>
    <hyperlink ref="D217" r:id="rId216" display="https://www.outlookbusiness.com/news/regaal-resources-doubles-maize-processing-capacity-with-389-cr-expansion-at-kishanganj-bihar"/>
    <hyperlink ref="D218" r:id="rId217" display="https://www.businesstoday.in/amp/markets/ipo-corner/story/regaal-resources-ipo-opens-today-check-reviews-ratings-latest-gmp-more-488973-2025-08-12"/>
    <hyperlink ref="D219" r:id="rId218" display="https://rilstaticasset.akamaized.net/sites/default/files/2022-12/py_rpt_g5801_spec.pdf"/>
    <hyperlink ref="D220" r:id="rId219" display="https://plastics.ulprospector.com/plastics/en/generics/37/materials/4048"/>
    <hyperlink ref="D221" r:id="rId220" display="https://www.specialchem.com/plastics/supplier/reliance-industries/relpet"/>
    <hyperlink ref="D222" r:id="rId221" display="https://Knowde.com/stores/reliance-industries-ltd/products/relpet-g5801"/>
    <hyperlink ref="D223" r:id="rId222" display="https://www.indianchemicalnews.com/petro-chemical/lite/reliance-to-double-its-pet-recycling-capacity-to-5-bn-bottles-9971"/>
    <hyperlink ref="D224" r:id="rId223" display="https://petpla.net/2023/02/01/pet-raw-material-and-recyclate-from-india/"/>
    <hyperlink ref="D225" r:id="rId224" display="https://riddhisiddhi.co.in/pdf/other-events-and-disclosure/press-release-19-01-2026.pdf"/>
    <hyperlink ref="D226" r:id="rId225" display="https://www.world-grain.com/articles/22710-rsgbl-acquires-cargill-corn-mill-in-india"/>
    <hyperlink ref="D227" r:id="rId226" display="https://insights.munich-startup.de/news/feed/riddhi-siddhi-gluco-biols-acquires-cargill-s-300-000-mt-corn-milling-facility-in-karnataka"/>
    <hyperlink ref="D228" r:id="rId227" display="https://themachinemaker.com/news/rsgbl-completes-acquisition-of-corn-wet-milling-facility-from-cargill-in-karnataka/"/>
    <hyperlink ref="D229" r:id="rId228" display="https://www.roquette.com/health-pharma/injectable-dialysis-specialty-apis/lycadex-pf-dextrose-monohydrate"/>
    <hyperlink ref="D230" r:id="rId229" display="https://www.roquette.com/pharma-and-nutraceuticals-pyrogen-free-dextrose-monohydrate"/>
    <hyperlink ref="D231" r:id="rId230" display="https://fr.roquette.com/-/media/roquette-sharepoint-libraries/marcomonline---pharma/roquette-pharma-injectable-dialysis-specialty-api-brochure.pdf"/>
    <hyperlink ref="D232" r:id="rId231" display="https://manufacturingchemist.com/roquette-completes-injectable-carbohydrate-plant-at-lestrem-63951"/>
    <hyperlink ref="D233" r:id="rId232" display="https://pharmacompass.com/us-drug-master-files-dmfs/anhydrous-dextrose"/>
    <hyperlink ref="D234" r:id="rId233" display="https://www.roquette.com/pharma-lycadex-pf-dextrose-monohydrate-pyrogen-free"/>
    <hyperlink ref="D235" r:id="rId234" display="https://www.roquette.com/health-pharma/biologics-product-finder/lycadex-biopharma-dextrose-monohydrate-low-endotoxin"/>
    <hyperlink ref="D236" r:id="rId235" display="https://www.roquette.com/health-pharma/pharmaceutical-product-catalog/glucidex-21-dehydrated-glucose-syrup-india"/>
    <hyperlink ref="D237" r:id="rId236" display="https://www.roquette.com/press-releases/product-capabilities-viramgam-india"/>
    <hyperlink ref="D238" r:id="rId237" display="https://www.roquette.com/press-releases/roquette-celebrates-10-years-operation-pantnagar"/>
    <hyperlink ref="D239" r:id="rId238" display="https://www.indianchemicalnews.com/general/lite/roquette-inaugurates-spray-tower-at-pantnagar-site-in-india-11507"/>
    <hyperlink ref="D240" r:id="rId239" display="https://www.potatopro.com/node/8764"/>
    <hyperlink ref="D241" r:id="rId240" display="https://www.riddhisiddhi.co.in/about.html"/>
    <hyperlink ref="D242" r:id="rId241" display="https://www.roquette.com/press-releases/product-capabilities-viramgam-india"/>
    <hyperlink ref="D243" r:id="rId242" display="https://www.roquette.com/media-center/press-center/2019-08-28-roquette-india-viramgam-s-unit-inauguration"/>
    <hyperlink ref="D244" r:id="rId243" display="https://www.foodnavigator.com/Article/2012/06/01/Roquette-Indian-starch-JV-to-drive-market-traction"/>
    <hyperlink ref="D245" r:id="rId244" display="https://circulareconomy.europa.eu/platform/en/good-practices/rpet-inwaste-sro-enabling-pet-bottle-bottle-recycling"/>
    <hyperlink ref="D246" r:id="rId245" display="https://www.maizeproducts.com/industry-solutions/dextrose-monohydrate/"/>
    <hyperlink ref="D247" r:id="rId246" display="https://exhibitors.figlobal.com/net/company/26/90/94/result269094-565.html"/>
    <hyperlink ref="D248" r:id="rId247" display="https://upstox.com/stocks/sayaji-industries-limited/INE327G01032"/>
    <hyperlink ref="D249" r:id="rId248" display="https://www.careratings.com/upload/CompanyFiles/PR/Sayaji Industries Limited-03-11-2019.pdf"/>
    <hyperlink ref="D250" r:id="rId249" display="https://www.kotaksecurities.com/stocks/bse-sayaji-industries-ltd"/>
    <hyperlink ref="D251" r:id="rId250" display="https://exhibitors.figlobal.com/net/company/26/90/94/result269094-565.html"/>
    <hyperlink ref="D252" r:id="rId251" display="https://pharmacompass.com/us-drug-master-files-dmfs/anhydrous-dextrose"/>
    <hyperlink ref="D253" r:id="rId252" display="https://www.pharmacompass.com/dmf-37618"/>
    <hyperlink ref="D254" r:id="rId253" display="https://www.pharmacompass.com/dmf-35737"/>
    <hyperlink ref="D255" r:id="rId254" display="https://b2usa.com/hotsite/shanghaiunitebiz/dextrose-monohydrate-food-grade-high-qua"/>
    <hyperlink ref="D256" r:id="rId255" display="https://www.shethpet.in/pharma-pet-bottle.html"/>
    <hyperlink ref="D257" r:id="rId256" display="https://th.globallinker.com/network/rubber-plastics-polymers/sme/sheth-pet-polymers-private-limited-241415"/>
    <hyperlink ref="D258" r:id="rId257" display="https://m.indiamart.com/sibi-polymers/"/>
    <hyperlink ref="D259" r:id="rId258" display="https://silgandispensing.com/wp-content/uploads/2026/07/260504-Dispensing-Closures-Catalogue-HR-1.pdf"/>
    <hyperlink ref="D260" r:id="rId259" display="https://silgandispensing.com/wp-content/uploads/2026/01/Dispensing-Closures-Catalogue-06.25-HR.pdf"/>
    <hyperlink ref="D261" r:id="rId260" display="https://silgandispensing.com/wp-content/uploads/2018/01/20SDS0755_Closures-Product-Guide_r3.pdf"/>
    <hyperlink ref="D262" r:id="rId261" display="https://m.indiamart.com/sonapetindustries"/>
    <hyperlink ref="D263" r:id="rId262" display="https://m.indiamart.com/sonapetindustries/about-us.html"/>
    <hyperlink ref="D264" r:id="rId263" display="https://m.indiamart.com/sonapetindustries/plastic-container.html"/>
    <hyperlink ref="D265" r:id="rId264" display="https://disclosures.ifc.org/project-detail/ESRS/37933/srf-india-bopet"/>
    <hyperlink ref="D266" r:id="rId265" display="https://www.packaging-gateway.com/news/srf-plans-to-invest-58m-in-bopet-production-facility-in-indore-india-090216-4805002/"/>
    <hyperlink ref="D267" r:id="rId266" display="https://www.plasteurope.com/news/detail.asp?id=246416"/>
    <hyperlink ref="D268" r:id="rId267" display="https://www.plasteurope.com/news/detail.asp?id=246416"/>
    <hyperlink ref="D269" r:id="rId268" display="https://www.plasteurope.com/news/detail.asp?id=246416"/>
    <hyperlink ref="D270" r:id="rId269" display="https://www.indianpharmapost.com/sustainability/srichakra-receives-european-food-safety-approval-for-its-food-grade-recycled-rpet-11622"/>
    <hyperlink ref="D271" r:id="rId270" display="https://www.petnology.com/magazine/article/srichakra-becomes-the-first-indian-recycling-company-to-receive-a-positive-safety-assessment-from-european-food-safety-authority"/>
    <hyperlink ref="D272" r:id="rId271" display="https://petpla.net/2025/04/28/srichakra-triples-bottle-grade-rpet-production-capacities/"/>
    <hyperlink ref="D273" r:id="rId272" display="https://www.foodanddrinktechnology.com/news/48696/recycled-pet-for-indias-first-100-rpet-beverage-bottle-produced-by-srichakra-polyplast/"/>
    <hyperlink ref="D274" r:id="rId273" display="https://petpla.net/2021/11/08/bottle-to-bottle-recycling-line-at-srichakra-polyplast-in-india/"/>
    <hyperlink ref="D275" r:id="rId274" display="https://www.circulatecapital.com/wp-content/uploads/2022/11/Srichakra_Press-Release_March-9-2022.docx.pdf"/>
    <hyperlink ref="D276" r:id="rId275" display="https://tekni-plex.com/en/articles/tri-seal-luxe-seal-2-pc-embossed-induction-seal-closer-liners"/>
    <hyperlink ref="D277" r:id="rId276" display="https://www.healthcarepackaging.com/home/press-release/13289282/tekniplex-induction-seals"/>
    <hyperlink ref="D278" r:id="rId277" display="https://www.oemmagazine.org/home/product/15693541/triseal-a-tekniplex-co-triseal-embossed-induction-seal-closure-liners"/>
    <hyperlink ref="D279" r:id="rId278" display="https://tekni-plex.com/en/articles/tri-seal-unveils-latest-pouch-lidding-structures-for-medical-device-and-pharma-applications-at-mdm-west"/>
    <hyperlink ref="D280" r:id="rId279" display="https://www.indiancooperative.com/co-op-news-snippets/maize-procurement-telangana-markfed-coordinating-with-nafed/"/>
    <hyperlink ref="D281" r:id="rId280" display="https://www.siasat.com/telangana-govt-opens-maize-procurement-centres-after-brs-pressure-harish-rao-3438607/"/>
    <hyperlink ref="D282" r:id="rId281" display="https://www.siasat.com/telanganas-maize-crisis-exposes-gaps-in-procurement-storage-systems-3468406/"/>
    <hyperlink ref="D283" r:id="rId282" display="https://pharmaoffer.com/api-excipient-supplier/excipients/glucose-monohydrate/cep"/>
    <hyperlink ref="D284" r:id="rId283" display="https://pharmaoffer.com/api-excipient-supplier/company/tereos"/>
    <hyperlink ref="D285" r:id="rId284" display="https://www.quadragroup.store/products/meritose-200-pharma-p15325"/>
    <hyperlink ref="D286" r:id="rId285" display="https://www.crisil.com/mnt/winshare/Ratings/RatingList/RatingDocs/TheSukhjitStarchandChemicalsLimited_June 12_ 2026_RR_394602.html"/>
    <hyperlink ref="D287" r:id="rId286" display="https://www.careratings.com/upload/CompanyFiles/PR/20092022074241_The_Sukhjit_Starch_&amp;_Chemicals_Limited.pdf"/>
    <hyperlink ref="D288" r:id="rId287" display="https://filingreader.com/news-wire/mumbai/2026-05-06/sukhjit-starch-to-shut-phagwara-unit-for-maintenance"/>
    <hyperlink ref="D289" r:id="rId288" display="https://www.morningstar.com.au/investments/security/NSE/SUKHJITS"/>
    <hyperlink ref="D290" r:id="rId289" display="https://www.crisil.com/mnt/winshare/Ratings/RatingList/RatingDocs/TheSukhjitStarchandChemicalsLimited_August 09_ 2024_RR_350173.html"/>
    <hyperlink ref="D291" r:id="rId290" display="https://www.crisil.com/mnt/winshare/Ratings/RatingList/RatingDocs/TheSukhjitStarchandChemicalsLimited_July 18_ 2024_RR_347845.html"/>
    <hyperlink ref="D292" r:id="rId291" display="https://www.careratings.com/upload/CompanyFiles/PR/The Sukhjit Starch &amp; Chemicals Limited-10-09-2017.pdf"/>
    <hyperlink ref="D293" r:id="rId292" display="https://www.indiainfoline.com/company/sukhjit-starch-chemicals-ltd/summary"/>
    <hyperlink ref="D294" r:id="rId293" display="https://www.indianchemicalnews.com/general/sukhjit-starch-signs-rs-500-crore-mou-with-maharashtra-for-nashik-maize-unit-31805"/>
    <hyperlink ref="D295" r:id="rId294" display="https://www.freepressjournal.in/pune/nashik-sukhjit-biocorn-to-invest-760-crore-in-yeola-midc-agro-processing-plant"/>
    <hyperlink ref="D296" r:id="rId295" display="https://www.crisil.com/mnt/winshare/Ratings/RatingList/RatingDocs/TheSukhjitStarchandChemicalsLimited_July 20, 2023_RR_323242.html"/>
    <hyperlink ref="D297" r:id="rId296" display="https://www.tianjiachem.com/dextrose-anhydrous-product/"/>
    <hyperlink ref="D298" r:id="rId297" display="https://www.tilleydistributionproducts.com/products/clintose-dextrose-a"/>
    <hyperlink ref="D299" r:id="rId298" display="https://tilleydistributionproducts.com/products/clintose-dextrose-vf"/>
    <hyperlink ref="D300" r:id="rId299" display="https://musaffa.com/stock/524582.BO/"/>
    <hyperlink ref="D301" r:id="rId300" display="https://www.indiainfoline.com/company/tirupati-starch-chemicals-ltd-management/summary/3872"/>
    <hyperlink ref="D302" r:id="rId301" display="https://www.printweek.in/news/uflex-highlights-its-pharma-packaging-solutions-at-cphi-2019-42519"/>
    <hyperlink ref="D303" r:id="rId302" display="https://packagingsouthasia.com/events/uflex-launches-stick-pack-machine-at-cphi-and-p-mec-2019/"/>
    <hyperlink ref="D304" r:id="rId303" display="https://www.plastemart.com/news-plastics-information/UFlex-Limited-A-Global-Leader-in-Flexible-Packaging-Films/75103"/>
    <hyperlink ref="D305" r:id="rId304" display="https://www.packaginginsights.com/profile-directory/uflex-limited.html"/>
    <hyperlink ref="D306" r:id="rId305" display="https://www.cphi-online.com/company/universal-starch-chem-allied-ltd/"/>
    <hyperlink ref="D307" r:id="rId306" display="https://www.cphi-online.com/product/dextrose-monohydrate-3/"/>
    <hyperlink ref="D308" r:id="rId307" display="https://www.bloomberg.com/profile/company/UNIVSTAR:IN"/>
    <hyperlink ref="D309" r:id="rId308" display="https://www.cphi-online.com/company/universal-starch-chem-allied-ltd/"/>
    <hyperlink ref="D310" r:id="rId309" display="https://m.indiamart.com/universalstarch/corn-starch.html"/>
    <hyperlink ref="D311" r:id="rId310" display="https://www.sharescart.com/company/univer-starch-chem/"/>
    <hyperlink ref="D312" r:id="rId311" display="https://pharmaoffer.com/api-excipient-supplier/excipients/glucose-monohydrate/cep"/>
    <hyperlink ref="D313" r:id="rId312" display="https://pharmacompass.com/us-drug-master-files-dmfs/anhydrous-dextrose"/>
    <hyperlink ref="D314" r:id="rId313" display="https://www.cphi-online.com/company/weifang-shengtai-medicine-co-ltd/"/>
    <hyperlink ref="D315" r:id="rId314" display="https://www.cphi-online.com/product/dextrose-anhydrous-3/"/>
    <hyperlink ref="D316" r:id="rId315" display="https://www.cphi-online.com/product/dextrose-monohydrate-4/"/>
    <hyperlink ref="D317" r:id="rId316" display="https://www.biospace.com/shengtai-pharmaceutical-inc-sets-up-new-sales-departments-to-accommodate-anticipated-ramp-in-operations-of-new-glucose-facility"/>
    <hyperlink ref="D318" r:id="rId317" display="https://hk.finance.yahoo.com/quote/SGTI/profile"/>
    <hyperlink ref="D319" r:id="rId318" display="https://www.xenexlabs.com/products/dextrose-anhydrous-powder-usp-25kg"/>
    <hyperlink ref="D320" r:id="rId319" display="https://pharmaoffer.com/api-excipient-supplier/excipients/glucose-monohydrate/cep"/>
    <hyperlink ref="D321" r:id="rId320" display="https://pharmacompass.com/us-drug-master-files-dmfs/anhydrous-dextrose"/>
    <hyperlink ref="D322" r:id="rId321" display="https://www.pharmacompass.com/dmf-26450"/>
    <hyperlink ref="D323" r:id="rId322" display="https://pharmaoffer.com/api-excipient-supplier/company/xiwang-pharm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23"/>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2026-10-16T04:53:52Z</dcterms:created>
  <dc:creator>openpyxl</dc:creator>
  <dc:description/>
  <dc:language>en-US</dc:language>
  <cp:lastModifiedBy/>
  <dcterms:modified xsi:type="dcterms:W3CDTF">2026-10-16T04:53:52Z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